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t_a_glance" sheetId="1" state="visible" r:id="rId1"/>
    <sheet xmlns:r="http://schemas.openxmlformats.org/officeDocument/2006/relationships" name="drba" sheetId="2" state="visible" r:id="rId2"/>
    <sheet xmlns:r="http://schemas.openxmlformats.org/officeDocument/2006/relationships" name="hko_extended" sheetId="3" state="visible" r:id="rId3"/>
    <sheet xmlns:r="http://schemas.openxmlformats.org/officeDocument/2006/relationships" name="leap_preview" sheetId="4" state="visible" r:id="rId4"/>
    <sheet xmlns:r="http://schemas.openxmlformats.org/officeDocument/2006/relationships" name="lookup" sheetId="5" state="visible" r:id="rId5"/>
    <sheet xmlns:r="http://schemas.openxmlformats.org/officeDocument/2006/relationships" name="lunar_ref" sheetId="6" state="visible" r:id="rId6"/>
    <sheet xmlns:r="http://schemas.openxmlformats.org/officeDocument/2006/relationships" name="verification"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32">
    <font>
      <name val="Arial"/>
      <color rgb="FF000000"/>
      <sz val="10"/>
      <scheme val="minor"/>
    </font>
    <font>
      <name val="Arial"/>
      <color theme="1"/>
    </font>
    <font>
      <name val="Arial"/>
      <b val="1"/>
      <color theme="1"/>
      <scheme val="minor"/>
    </font>
    <font>
      <name val="Arial"/>
      <color theme="1"/>
      <scheme val="minor"/>
    </font>
    <font>
      <name val="Arial"/>
      <color rgb="FF000000"/>
      <sz val="10"/>
    </font>
    <font>
      <b val="1"/>
    </font>
    <font>
      <b val="1"/>
      <sz val="13"/>
    </font>
    <font>
      <i val="1"/>
    </font>
    <font>
      <b val="1"/>
      <color rgb="003B3226"/>
      <sz val="18"/>
    </font>
    <font>
      <i val="1"/>
      <color rgb="008A7E6D"/>
    </font>
    <font>
      <b val="1"/>
      <color rgb="003B3226"/>
    </font>
    <font>
      <color rgb="008A7E6D"/>
      <sz val="9"/>
    </font>
    <font>
      <b val="1"/>
      <color rgb="003B3226"/>
      <sz val="13"/>
    </font>
    <font>
      <b val="1"/>
      <color rgb="008A7E6D"/>
      <sz val="10"/>
    </font>
    <font>
      <color rgb="003B3226"/>
      <sz val="12"/>
    </font>
    <font>
      <b val="1"/>
      <color rgb="008A7E6D"/>
      <sz val="11"/>
    </font>
    <font>
      <b val="1"/>
      <color rgb="003B3226"/>
      <sz val="10"/>
    </font>
    <font>
      <color rgb="008A7E6D"/>
      <sz val="10"/>
    </font>
    <font>
      <b val="1"/>
      <color rgb="003B3226"/>
      <sz val="11"/>
    </font>
    <font>
      <b val="1"/>
      <color rgb="003B3226"/>
      <sz val="12"/>
    </font>
    <font>
      <color rgb="003B3226"/>
      <sz val="10"/>
    </font>
    <font>
      <b val="1"/>
      <color rgb="008C6D1F"/>
      <sz val="11"/>
    </font>
    <font>
      <i val="1"/>
      <color rgb="008A7E6D"/>
      <sz val="9"/>
    </font>
    <font>
      <b val="1"/>
      <color rgb="001F3864"/>
      <sz val="10"/>
    </font>
    <font>
      <b val="1"/>
      <color rgb="003B3226"/>
      <sz val="15"/>
    </font>
    <font>
      <color rgb="003B3226"/>
      <sz val="11"/>
    </font>
    <font>
      <b val="1"/>
      <color rgb="001F3864"/>
      <sz val="11"/>
    </font>
    <font>
      <b val="1"/>
      <color rgb="00843C0C"/>
      <sz val="10"/>
    </font>
    <font>
      <i val="1"/>
      <color rgb="008A7E6D"/>
      <sz val="10"/>
    </font>
    <font>
      <b val="1"/>
      <color rgb="001F3864"/>
      <sz val="12"/>
    </font>
    <font>
      <b val="1"/>
      <color rgb="003B3226"/>
      <sz val="14"/>
    </font>
    <font>
      <b val="1"/>
      <sz val="10"/>
    </font>
  </fonts>
  <fills count="10">
    <fill>
      <patternFill/>
    </fill>
    <fill>
      <patternFill patternType="lightGray"/>
    </fill>
    <fill>
      <patternFill patternType="solid">
        <fgColor rgb="00D9D9D9"/>
      </patternFill>
    </fill>
    <fill>
      <patternFill patternType="solid">
        <fgColor rgb="00E2EFDA"/>
      </patternFill>
    </fill>
    <fill>
      <patternFill patternType="solid">
        <fgColor rgb="00FFF2CC"/>
      </patternFill>
    </fill>
    <fill>
      <patternFill patternType="solid">
        <fgColor rgb="00DDEBF7"/>
      </patternFill>
    </fill>
    <fill>
      <patternFill patternType="solid">
        <fgColor rgb="00EFE7DA"/>
      </patternFill>
    </fill>
    <fill>
      <patternFill patternType="solid">
        <fgColor rgb="00F6E2B3"/>
      </patternFill>
    </fill>
    <fill>
      <patternFill patternType="solid">
        <fgColor rgb="00DCE6F1"/>
      </patternFill>
    </fill>
    <fill>
      <patternFill patternType="solid">
        <fgColor rgb="00EFD3B0"/>
      </patternFill>
    </fill>
  </fills>
  <borders count="5">
    <border/>
    <border>
      <left style="thin">
        <color rgb="00D8CEBE"/>
      </left>
      <right style="thin">
        <color rgb="00D8CEBE"/>
      </right>
      <top style="thin">
        <color rgb="00D8CEBE"/>
      </top>
      <bottom style="thin">
        <color rgb="00D8CEBE"/>
      </bottom>
    </border>
    <border>
      <left style="medium">
        <color rgb="00B08968"/>
      </left>
      <right style="medium">
        <color rgb="00B08968"/>
      </right>
      <top style="medium">
        <color rgb="00B08968"/>
      </top>
      <bottom style="thin">
        <color rgb="00D8CEBE"/>
      </bottom>
    </border>
    <border>
      <left style="medium">
        <color rgb="00B08968"/>
      </left>
      <right style="medium">
        <color rgb="00B08968"/>
      </right>
      <top style="thin">
        <color rgb="00D8CEBE"/>
      </top>
      <bottom style="thin">
        <color rgb="00D8CEBE"/>
      </bottom>
    </border>
    <border>
      <left style="medium">
        <color rgb="00B08968"/>
      </left>
      <right style="medium">
        <color rgb="00B08968"/>
      </right>
      <top style="thin">
        <color rgb="00D8CEBE"/>
      </top>
      <bottom style="medium">
        <color rgb="00B08968"/>
      </bottom>
    </border>
  </borders>
  <cellStyleXfs count="1">
    <xf numFmtId="0" fontId="0" fillId="0" borderId="0"/>
  </cellStyleXfs>
  <cellXfs count="91">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1" fillId="0" borderId="0" pivotButton="0" quotePrefix="0" xfId="0"/>
    <xf numFmtId="0" fontId="3" fillId="0" borderId="0" pivotButton="0" quotePrefix="0" xfId="0"/>
    <xf numFmtId="0" fontId="3" fillId="0" borderId="0" pivotButton="0" quotePrefix="0" xfId="0"/>
    <xf numFmtId="164" fontId="1" fillId="0" borderId="0" applyAlignment="1" pivotButton="0" quotePrefix="0" xfId="0">
      <alignment horizontal="center"/>
    </xf>
    <xf numFmtId="0" fontId="4" fillId="0" borderId="0" pivotButton="0" quotePrefix="0" xfId="0"/>
    <xf numFmtId="164" fontId="1" fillId="0" borderId="0" applyAlignment="1" pivotButton="0" quotePrefix="0" xfId="0">
      <alignment horizontal="center" vertical="bottom"/>
    </xf>
    <xf numFmtId="0" fontId="1" fillId="0" borderId="0" applyAlignment="1" pivotButton="0" quotePrefix="0" xfId="0">
      <alignment horizontal="center" vertical="bottom"/>
    </xf>
    <xf numFmtId="0" fontId="0" fillId="0" borderId="0" pivotButton="0" quotePrefix="0" xfId="0"/>
    <xf numFmtId="0" fontId="5" fillId="0" borderId="0" pivotButton="0" quotePrefix="0" xfId="0"/>
    <xf numFmtId="164" fontId="0" fillId="0" borderId="0" pivotButton="0" quotePrefix="0" xfId="0"/>
    <xf numFmtId="0" fontId="6" fillId="0" borderId="0" pivotButton="0" quotePrefix="0" xfId="0"/>
    <xf numFmtId="0" fontId="7" fillId="0" borderId="0" pivotButton="0" quotePrefix="0" xfId="0"/>
    <xf numFmtId="0" fontId="5" fillId="2" borderId="0" pivotButton="0" quotePrefix="0" xfId="0"/>
    <xf numFmtId="0" fontId="0" fillId="3" borderId="0" applyAlignment="1" pivotButton="0" quotePrefix="0" xfId="0">
      <alignment vertical="top" wrapText="1"/>
    </xf>
    <xf numFmtId="0" fontId="5" fillId="3" borderId="0" applyAlignment="1" pivotButton="0" quotePrefix="0" xfId="0">
      <alignment vertical="top" wrapText="1"/>
    </xf>
    <xf numFmtId="0" fontId="0" fillId="4" borderId="0" applyAlignment="1" pivotButton="0" quotePrefix="0" xfId="0">
      <alignment vertical="top" wrapText="1"/>
    </xf>
    <xf numFmtId="0" fontId="5" fillId="4" borderId="0" applyAlignment="1" pivotButton="0" quotePrefix="0" xfId="0">
      <alignment vertical="top" wrapText="1"/>
    </xf>
    <xf numFmtId="0" fontId="0" fillId="0" borderId="0" applyAlignment="1" pivotButton="0" quotePrefix="0" xfId="0">
      <alignment vertical="top" wrapText="1"/>
    </xf>
    <xf numFmtId="0" fontId="0" fillId="5" borderId="0" applyAlignment="1" pivotButton="0" quotePrefix="0" xfId="0">
      <alignment vertical="top" wrapText="1"/>
    </xf>
    <xf numFmtId="0" fontId="5" fillId="5"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6" borderId="1" pivotButton="0" quotePrefix="0" xfId="0"/>
    <xf numFmtId="0" fontId="14" fillId="6" borderId="1" applyAlignment="1" pivotButton="0" quotePrefix="0" xfId="0">
      <alignment horizontal="left"/>
    </xf>
    <xf numFmtId="0" fontId="0" fillId="6" borderId="1" pivotButton="0" quotePrefix="0" xfId="0"/>
    <xf numFmtId="0" fontId="15" fillId="0" borderId="0" pivotButton="0" quotePrefix="0" xfId="0"/>
    <xf numFmtId="0" fontId="16" fillId="6" borderId="1" pivotButton="0" quotePrefix="0" xfId="0"/>
    <xf numFmtId="0" fontId="18" fillId="6" borderId="1" applyAlignment="1" pivotButton="0" quotePrefix="0" xfId="0">
      <alignment horizontal="center" vertical="center"/>
    </xf>
    <xf numFmtId="0" fontId="17" fillId="6" borderId="1" pivotButton="0" quotePrefix="0" xfId="0"/>
    <xf numFmtId="0" fontId="19" fillId="0" borderId="1" applyAlignment="1" pivotButton="0" quotePrefix="0" xfId="0">
      <alignment horizontal="center" vertical="center"/>
    </xf>
    <xf numFmtId="0" fontId="20" fillId="0" borderId="1" applyAlignment="1" pivotButton="0" quotePrefix="0" xfId="0">
      <alignment horizontal="center" vertical="center"/>
    </xf>
    <xf numFmtId="0" fontId="21" fillId="0" borderId="1" applyAlignment="1" pivotButton="0" quotePrefix="0" xfId="0">
      <alignment horizontal="center" vertical="center"/>
    </xf>
    <xf numFmtId="0" fontId="22" fillId="0" borderId="0" pivotButton="0" quotePrefix="0" xfId="0"/>
    <xf numFmtId="164" fontId="11" fillId="0" borderId="0" pivotButton="0" quotePrefix="0" xfId="0"/>
    <xf numFmtId="0" fontId="19" fillId="0" borderId="0" pivotButton="0" quotePrefix="0" xfId="0"/>
    <xf numFmtId="0" fontId="23" fillId="0" borderId="0" applyAlignment="1" pivotButton="0" quotePrefix="0" xfId="0">
      <alignment horizontal="center"/>
    </xf>
    <xf numFmtId="0" fontId="19" fillId="0" borderId="2" applyAlignment="1" pivotButton="0" quotePrefix="0" xfId="0">
      <alignment horizontal="center" vertical="center" wrapText="1"/>
    </xf>
    <xf numFmtId="0" fontId="19" fillId="0" borderId="1" applyAlignment="1" pivotButton="0" quotePrefix="0" xfId="0">
      <alignment horizontal="center" vertical="center" wrapText="1"/>
    </xf>
    <xf numFmtId="0" fontId="16" fillId="0" borderId="0" pivotButton="0" quotePrefix="0" xfId="0"/>
    <xf numFmtId="164" fontId="18" fillId="0" borderId="0" pivotButton="0" quotePrefix="0" xfId="0"/>
    <xf numFmtId="0" fontId="24" fillId="0" borderId="3" applyAlignment="1" pivotButton="0" quotePrefix="0" xfId="0">
      <alignment horizontal="center" vertical="center" wrapText="1"/>
    </xf>
    <xf numFmtId="0" fontId="24" fillId="0" borderId="1" applyAlignment="1" pivotButton="0" quotePrefix="0" xfId="0">
      <alignment horizontal="center" vertical="center" wrapText="1"/>
    </xf>
    <xf numFmtId="0" fontId="17" fillId="0" borderId="0" pivotButton="0" quotePrefix="0" xfId="0"/>
    <xf numFmtId="0" fontId="25" fillId="0" borderId="3" applyAlignment="1" pivotButton="0" quotePrefix="0" xfId="0">
      <alignment horizontal="center" vertical="center" wrapText="1"/>
    </xf>
    <xf numFmtId="0" fontId="25" fillId="0" borderId="1"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1"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1" applyAlignment="1" pivotButton="0" quotePrefix="0" xfId="0">
      <alignment horizontal="center" vertical="center" wrapText="1"/>
    </xf>
    <xf numFmtId="0" fontId="0" fillId="7" borderId="1" pivotButton="0" quotePrefix="0" xfId="0"/>
    <xf numFmtId="0" fontId="20" fillId="0" borderId="0" pivotButton="0" quotePrefix="0" xfId="0"/>
    <xf numFmtId="0" fontId="26" fillId="0" borderId="3" applyAlignment="1" pivotButton="0" quotePrefix="0" xfId="0">
      <alignment horizontal="center" vertical="center" wrapText="1"/>
    </xf>
    <xf numFmtId="0" fontId="26" fillId="0" borderId="1" applyAlignment="1" pivotButton="0" quotePrefix="0" xfId="0">
      <alignment horizontal="center" vertical="center" wrapText="1"/>
    </xf>
    <xf numFmtId="0" fontId="0" fillId="8" borderId="1" pivotButton="0" quotePrefix="0" xfId="0"/>
    <xf numFmtId="0" fontId="27" fillId="0" borderId="3" applyAlignment="1" pivotButton="0" quotePrefix="0" xfId="0">
      <alignment horizontal="center" vertical="center" wrapText="1"/>
    </xf>
    <xf numFmtId="0" fontId="27" fillId="0" borderId="1" applyAlignment="1" pivotButton="0" quotePrefix="0" xfId="0">
      <alignment horizontal="center" vertical="center" wrapText="1"/>
    </xf>
    <xf numFmtId="0" fontId="0" fillId="9" borderId="1" pivotButton="0" quotePrefix="0" xfId="0"/>
    <xf numFmtId="0" fontId="0" fillId="0" borderId="4" applyAlignment="1" pivotButton="0" quotePrefix="0" xfId="0">
      <alignment horizontal="center" vertical="center" wrapText="1"/>
    </xf>
    <xf numFmtId="0" fontId="28" fillId="0" borderId="0" pivotButton="0" quotePrefix="0" xfId="0"/>
    <xf numFmtId="0" fontId="29" fillId="0" borderId="2" applyAlignment="1" pivotButton="0" quotePrefix="0" xfId="0">
      <alignment horizontal="left" vertical="center" wrapText="1" indent="1"/>
    </xf>
    <xf numFmtId="0" fontId="25" fillId="0" borderId="2" applyAlignment="1" pivotButton="0" quotePrefix="0" xfId="0">
      <alignment horizontal="left" vertical="center" wrapText="1"/>
    </xf>
    <xf numFmtId="0" fontId="21"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30" fillId="0" borderId="4" applyAlignment="1" pivotButton="0" quotePrefix="0" xfId="0">
      <alignment horizontal="left" vertical="center" wrapText="1" indent="1"/>
    </xf>
    <xf numFmtId="0" fontId="25" fillId="0" borderId="4" applyAlignment="1" pivotButton="0" quotePrefix="0" xfId="0">
      <alignment horizontal="left" vertical="center" wrapText="1"/>
    </xf>
    <xf numFmtId="0" fontId="26" fillId="0" borderId="4" applyAlignment="1" pivotButton="0" quotePrefix="0" xfId="0">
      <alignment horizontal="center" vertical="center" wrapText="1"/>
    </xf>
    <xf numFmtId="0" fontId="27" fillId="0" borderId="4" applyAlignment="1" pivotButton="0" quotePrefix="0" xfId="0">
      <alignment horizontal="center" vertical="center" wrapText="1"/>
    </xf>
    <xf numFmtId="0" fontId="19" fillId="0" borderId="1" applyAlignment="1" pivotButton="0" quotePrefix="0" xfId="0">
      <alignment horizontal="left" vertical="center" wrapText="1" indent="1"/>
    </xf>
    <xf numFmtId="0" fontId="25" fillId="0" borderId="1" applyAlignment="1" pivotButton="0" quotePrefix="0" xfId="0">
      <alignment horizontal="left" vertical="center" wrapText="1"/>
    </xf>
    <xf numFmtId="0" fontId="30" fillId="0" borderId="1" applyAlignment="1" pivotButton="0" quotePrefix="0" xfId="0">
      <alignment horizontal="left" vertical="center" wrapText="1" indent="1"/>
    </xf>
    <xf numFmtId="0" fontId="29" fillId="0" borderId="2" applyAlignment="1" pivotButton="0" quotePrefix="0" xfId="0">
      <alignment horizontal="left" vertical="center" indent="1"/>
    </xf>
    <xf numFmtId="0" fontId="25" fillId="0" borderId="2" applyAlignment="1" pivotButton="0" quotePrefix="0" xfId="0">
      <alignment horizontal="left" vertical="center"/>
    </xf>
    <xf numFmtId="0" fontId="21" fillId="0" borderId="2" applyAlignment="1" pivotButton="0" quotePrefix="0" xfId="0">
      <alignment horizontal="center" vertical="center"/>
    </xf>
    <xf numFmtId="0" fontId="30" fillId="0" borderId="4" applyAlignment="1" pivotButton="0" quotePrefix="0" xfId="0">
      <alignment horizontal="left" vertical="center" indent="1"/>
    </xf>
    <xf numFmtId="0" fontId="25" fillId="0" borderId="4" applyAlignment="1" pivotButton="0" quotePrefix="0" xfId="0">
      <alignment horizontal="left" vertical="center"/>
    </xf>
    <xf numFmtId="0" fontId="26" fillId="0" borderId="4" applyAlignment="1" pivotButton="0" quotePrefix="0" xfId="0">
      <alignment horizontal="center" vertical="center"/>
    </xf>
    <xf numFmtId="0" fontId="19" fillId="0" borderId="1" applyAlignment="1" pivotButton="0" quotePrefix="0" xfId="0">
      <alignment horizontal="left" vertical="center" indent="1"/>
    </xf>
    <xf numFmtId="0" fontId="25" fillId="0" borderId="1" applyAlignment="1" pivotButton="0" quotePrefix="0" xfId="0">
      <alignment horizontal="left" vertical="center"/>
    </xf>
    <xf numFmtId="0" fontId="21" fillId="0" borderId="1" applyAlignment="1" pivotButton="0" quotePrefix="0" xfId="0">
      <alignment horizontal="center" vertical="center"/>
    </xf>
    <xf numFmtId="0" fontId="30" fillId="0" borderId="1" applyAlignment="1" pivotButton="0" quotePrefix="0" xfId="0">
      <alignment horizontal="left" vertical="center" indent="1"/>
    </xf>
    <xf numFmtId="0" fontId="26" fillId="0" borderId="1" applyAlignment="1" pivotButton="0" quotePrefix="0" xfId="0">
      <alignment horizontal="center" vertical="center"/>
    </xf>
    <xf numFmtId="0" fontId="11" fillId="7" borderId="1" pivotButton="0" quotePrefix="0" xfId="0"/>
    <xf numFmtId="0" fontId="11" fillId="8" borderId="1" pivotButton="0" quotePrefix="0" xfId="0"/>
    <xf numFmtId="0" fontId="11" fillId="9" borderId="1" pivotButton="0" quotePrefix="0" xfId="0"/>
    <xf numFmtId="0" fontId="31" fillId="0" borderId="0" pivotButton="0" quotePrefix="0" xfId="0"/>
  </cellXfs>
  <cellStyles count="1">
    <cellStyle name="Normal" xfId="0" builtinId="0"/>
  </cellStyles>
  <dxfs count="7">
    <dxf>
      <fill>
        <patternFill patternType="solid">
          <fgColor rgb="00FCE4D6"/>
        </patternFill>
      </fill>
    </dxf>
    <dxf>
      <font>
        <b val="1"/>
        <color rgb="007B3F00"/>
      </font>
      <fill>
        <patternFill>
          <bgColor rgb="00FCE4D6"/>
        </patternFill>
      </fill>
    </dxf>
    <dxf>
      <font>
        <b val="1"/>
        <color rgb="001F3864"/>
      </font>
      <fill>
        <patternFill>
          <bgColor rgb="00E8EEF4"/>
        </patternFill>
      </fill>
    </dxf>
    <dxf>
      <fill>
        <patternFill>
          <bgColor rgb="00F6E2B3"/>
        </patternFill>
      </fill>
    </dxf>
    <dxf>
      <font>
        <b val="1"/>
        <color rgb="00843C0C"/>
      </font>
      <fill>
        <patternFill>
          <bgColor rgb="00FCE4D6"/>
        </patternFill>
      </fill>
    </dxf>
    <dxf>
      <fill>
        <patternFill>
          <bgColor rgb="00EFD3B0"/>
        </patternFill>
      </fill>
    </dxf>
    <dxf>
      <fill>
        <patternFill>
          <bgColor rgb="00DCE6F1"/>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20" customWidth="1" style="10" min="1" max="1"/>
    <col width="30" customWidth="1" style="10" min="2" max="2"/>
    <col width="20" customWidth="1" style="10" min="3" max="3"/>
    <col width="16" customWidth="1" style="10" min="9" max="9"/>
  </cols>
  <sheetData>
    <row r="1" ht="26" customHeight="1" s="10">
      <c r="A1" s="23" t="inlineStr">
        <is>
          <t>At a glance</t>
        </is>
      </c>
    </row>
    <row r="2" ht="18" customHeight="1" s="10">
      <c r="A2" s="24" t="inlineStr">
        <is>
          <t>Today and the next six days</t>
        </is>
      </c>
    </row>
    <row r="3" ht="8" customHeight="1" s="10"/>
    <row r="4" ht="8" customHeight="1" s="10"/>
    <row r="5" ht="26" customHeight="1" s="10">
      <c r="A5" s="76">
        <f>IF($A$30="","","TODAY   "&amp;TEXT($A$30,"dddd"))</f>
        <v/>
      </c>
      <c r="B5" s="77">
        <f>IF($A$32="","",$A$32&amp;"   month "&amp;$A$37&amp;IF(OR($A$37=1,$A$37=5,$A$37=9),"   * LONG FAST",""))</f>
        <v/>
      </c>
      <c r="C5" s="78">
        <f>IF($A$39="yes","六齋日  FAST DAY","")</f>
        <v/>
      </c>
    </row>
    <row r="6" ht="28" customHeight="1" s="10">
      <c r="A6" s="79">
        <f>IF($A$30="","",TEXT($A$30,"d mmm yyyy"))</f>
        <v/>
      </c>
      <c r="B6" s="80">
        <f>IF($A$33="","",$A$33&amp;"   day "&amp;$A$34&amp;IF($A$38="LEAP","   (LEAP MONTH)",""))</f>
        <v/>
      </c>
      <c r="C6" s="81">
        <f>IF($A$40="","",$A$40&amp;" moon")</f>
        <v/>
      </c>
    </row>
    <row r="7" ht="10" customHeight="1" s="10"/>
    <row r="8" ht="26" customHeight="1" s="10">
      <c r="A8" s="82">
        <f>IF($B$30="","",TEXT($B$30,"dddd"))</f>
        <v/>
      </c>
      <c r="B8" s="83">
        <f>IF($B$32="","",$B$32&amp;"   month "&amp;$B$37&amp;IF(OR($B$37=1,$B$37=5,$B$37=9),"   * LONG FAST",""))</f>
        <v/>
      </c>
      <c r="C8" s="84">
        <f>IF($B$39="yes","六齋日  FAST DAY","")</f>
        <v/>
      </c>
    </row>
    <row r="9" ht="28" customHeight="1" s="10">
      <c r="A9" s="85">
        <f>IF($B$30="","",TEXT($B$30,"d mmm yyyy"))</f>
        <v/>
      </c>
      <c r="B9" s="83">
        <f>IF($B$33="","",$B$33&amp;"   day "&amp;$B$34&amp;IF($B$38="LEAP","   (LEAP MONTH)",""))</f>
        <v/>
      </c>
      <c r="C9" s="86">
        <f>IF($B$40="","",$B$40&amp;" moon")</f>
        <v/>
      </c>
    </row>
    <row r="10" ht="10" customHeight="1" s="10"/>
    <row r="11" ht="26" customHeight="1" s="10">
      <c r="A11" s="82">
        <f>IF($C$30="","",TEXT($C$30,"dddd"))</f>
        <v/>
      </c>
      <c r="B11" s="83">
        <f>IF($C$32="","",$C$32&amp;"   month "&amp;$C$37&amp;IF(OR($C$37=1,$C$37=5,$C$37=9),"   * LONG FAST",""))</f>
        <v/>
      </c>
      <c r="C11" s="84">
        <f>IF($C$39="yes","六齋日  FAST DAY","")</f>
        <v/>
      </c>
    </row>
    <row r="12" ht="28" customHeight="1" s="10">
      <c r="A12" s="85">
        <f>IF($C$30="","",TEXT($C$30,"d mmm yyyy"))</f>
        <v/>
      </c>
      <c r="B12" s="83">
        <f>IF($C$33="","",$C$33&amp;"   day "&amp;$C$34&amp;IF($C$38="LEAP","   (LEAP MONTH)",""))</f>
        <v/>
      </c>
      <c r="C12" s="86">
        <f>IF($C$40="","",$C$40&amp;" moon")</f>
        <v/>
      </c>
    </row>
    <row r="13" ht="10" customHeight="1" s="10"/>
    <row r="14" ht="26" customHeight="1" s="10">
      <c r="A14" s="82">
        <f>IF($D$30="","",TEXT($D$30,"dddd"))</f>
        <v/>
      </c>
      <c r="B14" s="83">
        <f>IF($D$32="","",$D$32&amp;"   month "&amp;$D$37&amp;IF(OR($D$37=1,$D$37=5,$D$37=9),"   * LONG FAST",""))</f>
        <v/>
      </c>
      <c r="C14" s="84">
        <f>IF($D$39="yes","六齋日  FAST DAY","")</f>
        <v/>
      </c>
    </row>
    <row r="15" ht="28" customHeight="1" s="10">
      <c r="A15" s="85">
        <f>IF($D$30="","",TEXT($D$30,"d mmm yyyy"))</f>
        <v/>
      </c>
      <c r="B15" s="83">
        <f>IF($D$33="","",$D$33&amp;"   day "&amp;$D$34&amp;IF($D$38="LEAP","   (LEAP MONTH)",""))</f>
        <v/>
      </c>
      <c r="C15" s="86">
        <f>IF($D$40="","",$D$40&amp;" moon")</f>
        <v/>
      </c>
    </row>
    <row r="16" ht="10" customHeight="1" s="10"/>
    <row r="17" ht="26" customHeight="1" s="10">
      <c r="A17" s="82">
        <f>IF($E$30="","",TEXT($E$30,"dddd"))</f>
        <v/>
      </c>
      <c r="B17" s="83">
        <f>IF($E$32="","",$E$32&amp;"   month "&amp;$E$37&amp;IF(OR($E$37=1,$E$37=5,$E$37=9),"   * LONG FAST",""))</f>
        <v/>
      </c>
      <c r="C17" s="84">
        <f>IF($E$39="yes","六齋日  FAST DAY","")</f>
        <v/>
      </c>
    </row>
    <row r="18" ht="28" customHeight="1" s="10">
      <c r="A18" s="85">
        <f>IF($E$30="","",TEXT($E$30,"d mmm yyyy"))</f>
        <v/>
      </c>
      <c r="B18" s="83">
        <f>IF($E$33="","",$E$33&amp;"   day "&amp;$E$34&amp;IF($E$38="LEAP","   (LEAP MONTH)",""))</f>
        <v/>
      </c>
      <c r="C18" s="86">
        <f>IF($E$40="","",$E$40&amp;" moon")</f>
        <v/>
      </c>
    </row>
    <row r="19" ht="10" customHeight="1" s="10"/>
    <row r="20" ht="26" customHeight="1" s="10">
      <c r="A20" s="82">
        <f>IF($F$30="","",TEXT($F$30,"dddd"))</f>
        <v/>
      </c>
      <c r="B20" s="83">
        <f>IF($F$32="","",$F$32&amp;"   month "&amp;$F$37&amp;IF(OR($F$37=1,$F$37=5,$F$37=9),"   * LONG FAST",""))</f>
        <v/>
      </c>
      <c r="C20" s="84">
        <f>IF($F$39="yes","六齋日  FAST DAY","")</f>
        <v/>
      </c>
    </row>
    <row r="21" ht="28" customHeight="1" s="10">
      <c r="A21" s="85">
        <f>IF($F$30="","",TEXT($F$30,"d mmm yyyy"))</f>
        <v/>
      </c>
      <c r="B21" s="83">
        <f>IF($F$33="","",$F$33&amp;"   day "&amp;$F$34&amp;IF($F$38="LEAP","   (LEAP MONTH)",""))</f>
        <v/>
      </c>
      <c r="C21" s="86">
        <f>IF($F$40="","",$F$40&amp;" moon")</f>
        <v/>
      </c>
    </row>
    <row r="22" ht="10" customHeight="1" s="10"/>
    <row r="23" ht="26" customHeight="1" s="10">
      <c r="A23" s="82">
        <f>IF($G$30="","",TEXT($G$30,"dddd"))</f>
        <v/>
      </c>
      <c r="B23" s="83">
        <f>IF($G$32="","",$G$32&amp;"   month "&amp;$G$37&amp;IF(OR($G$37=1,$G$37=5,$G$37=9),"   * LONG FAST",""))</f>
        <v/>
      </c>
      <c r="C23" s="84">
        <f>IF($G$39="yes","六齋日  FAST DAY","")</f>
        <v/>
      </c>
    </row>
    <row r="24" ht="28" customHeight="1" s="10">
      <c r="A24" s="85">
        <f>IF($G$30="","",TEXT($G$30,"d mmm yyyy"))</f>
        <v/>
      </c>
      <c r="B24" s="83">
        <f>IF($G$33="","",$G$33&amp;"   day "&amp;$G$34&amp;IF($G$38="LEAP","   (LEAP MONTH)",""))</f>
        <v/>
      </c>
      <c r="C24" s="86">
        <f>IF($G$40="","",$G$40&amp;" moon")</f>
        <v/>
      </c>
    </row>
    <row r="25" ht="10" customHeight="1" s="10"/>
    <row r="27">
      <c r="A27" s="40" t="inlineStr">
        <is>
          <t>Settings</t>
        </is>
      </c>
    </row>
    <row r="28">
      <c r="A28" s="44" t="inlineStr">
        <is>
          <t>Showing from</t>
        </is>
      </c>
      <c r="B28" s="45">
        <f>TODAY()</f>
        <v/>
      </c>
    </row>
    <row r="29">
      <c r="A29" s="48" t="inlineStr">
        <is>
          <t>Overwrite that date to preview another week. Put =TODAY() back to return to normal.</t>
        </is>
      </c>
    </row>
    <row r="30" hidden="1" s="10">
      <c r="A30" s="39">
        <f>$B$28+0</f>
        <v/>
      </c>
      <c r="B30" s="39">
        <f>$B$28+1</f>
        <v/>
      </c>
      <c r="C30" s="39">
        <f>$B$28+2</f>
        <v/>
      </c>
      <c r="D30" s="39">
        <f>$B$28+3</f>
        <v/>
      </c>
      <c r="E30" s="39">
        <f>$B$28+4</f>
        <v/>
      </c>
      <c r="F30" s="39">
        <f>$B$28+5</f>
        <v/>
      </c>
      <c r="G30" s="39">
        <f>$B$28+6</f>
        <v/>
      </c>
      <c r="I30" s="26" t="inlineStr">
        <is>
          <t>date</t>
        </is>
      </c>
    </row>
    <row r="31" hidden="1" s="10">
      <c r="A31" s="26">
        <f>IFERROR(MATCH(A$30,lunar_ref!$A:$A,0),"")</f>
        <v/>
      </c>
      <c r="B31" s="26">
        <f>IFERROR(MATCH(B$30,lunar_ref!$A:$A,0),"")</f>
        <v/>
      </c>
      <c r="C31" s="26">
        <f>IFERROR(MATCH(C$30,lunar_ref!$A:$A,0),"")</f>
        <v/>
      </c>
      <c r="D31" s="26">
        <f>IFERROR(MATCH(D$30,lunar_ref!$A:$A,0),"")</f>
        <v/>
      </c>
      <c r="E31" s="26">
        <f>IFERROR(MATCH(E$30,lunar_ref!$A:$A,0),"")</f>
        <v/>
      </c>
      <c r="F31" s="26">
        <f>IFERROR(MATCH(F$30,lunar_ref!$A:$A,0),"")</f>
        <v/>
      </c>
      <c r="G31" s="26">
        <f>IFERROR(MATCH(G$30,lunar_ref!$A:$A,0),"")</f>
        <v/>
      </c>
      <c r="I31" s="26" t="inlineStr">
        <is>
          <t>lunar_ref row</t>
        </is>
      </c>
    </row>
    <row r="32" hidden="1" s="10">
      <c r="A32" s="87">
        <f>IFERROR(INDEX(lunar_ref!$B:$B,A$31),"")</f>
        <v/>
      </c>
      <c r="B32" s="26">
        <f>IFERROR(INDEX(lunar_ref!$B:$B,B$31),"")</f>
        <v/>
      </c>
      <c r="C32" s="26">
        <f>IFERROR(INDEX(lunar_ref!$B:$B,C$31),"")</f>
        <v/>
      </c>
      <c r="D32" s="26">
        <f>IFERROR(INDEX(lunar_ref!$B:$B,D$31),"")</f>
        <v/>
      </c>
      <c r="E32" s="26">
        <f>IFERROR(INDEX(lunar_ref!$B:$B,E$31),"")</f>
        <v/>
      </c>
      <c r="F32" s="26">
        <f>IFERROR(INDEX(lunar_ref!$B:$B,F$31),"")</f>
        <v/>
      </c>
      <c r="G32" s="26">
        <f>IFERROR(INDEX(lunar_ref!$B:$B,G$31),"")</f>
        <v/>
      </c>
      <c r="I32" s="26" t="inlineStr">
        <is>
          <t>lunar month</t>
        </is>
      </c>
    </row>
    <row r="33" hidden="1" s="10">
      <c r="A33" s="88">
        <f>IFERROR(INDEX(lunar_ref!$C:$C,A$31),"")</f>
        <v/>
      </c>
      <c r="B33" s="26">
        <f>IFERROR(INDEX(lunar_ref!$C:$C,B$31),"")</f>
        <v/>
      </c>
      <c r="C33" s="26">
        <f>IFERROR(INDEX(lunar_ref!$C:$C,C$31),"")</f>
        <v/>
      </c>
      <c r="D33" s="26">
        <f>IFERROR(INDEX(lunar_ref!$C:$C,D$31),"")</f>
        <v/>
      </c>
      <c r="E33" s="26">
        <f>IFERROR(INDEX(lunar_ref!$C:$C,E$31),"")</f>
        <v/>
      </c>
      <c r="F33" s="26">
        <f>IFERROR(INDEX(lunar_ref!$C:$C,F$31),"")</f>
        <v/>
      </c>
      <c r="G33" s="26">
        <f>IFERROR(INDEX(lunar_ref!$C:$C,G$31),"")</f>
        <v/>
      </c>
      <c r="I33" s="26" t="inlineStr">
        <is>
          <t>lunar day</t>
        </is>
      </c>
    </row>
    <row r="34" hidden="1" s="10">
      <c r="A34" s="89">
        <f>IFERROR(INDEX(lookup!$B:$B,MATCH(A$33,lookup!$A:$A,0)),"")</f>
        <v/>
      </c>
      <c r="B34" s="26">
        <f>IFERROR(INDEX(lookup!$B:$B,MATCH(B$33,lookup!$A:$A,0)),"")</f>
        <v/>
      </c>
      <c r="C34" s="26">
        <f>IFERROR(INDEX(lookup!$B:$B,MATCH(C$33,lookup!$A:$A,0)),"")</f>
        <v/>
      </c>
      <c r="D34" s="26">
        <f>IFERROR(INDEX(lookup!$B:$B,MATCH(D$33,lookup!$A:$A,0)),"")</f>
        <v/>
      </c>
      <c r="E34" s="26">
        <f>IFERROR(INDEX(lookup!$B:$B,MATCH(E$33,lookup!$A:$A,0)),"")</f>
        <v/>
      </c>
      <c r="F34" s="26">
        <f>IFERROR(INDEX(lookup!$B:$B,MATCH(F$33,lookup!$A:$A,0)),"")</f>
        <v/>
      </c>
      <c r="G34" s="26">
        <f>IFERROR(INDEX(lookup!$B:$B,MATCH(G$33,lookup!$A:$A,0)),"")</f>
        <v/>
      </c>
      <c r="I34" s="26" t="inlineStr">
        <is>
          <t>day number</t>
        </is>
      </c>
    </row>
    <row r="35" hidden="1" s="10">
      <c r="A35" s="26">
        <f>IFERROR(INDEX(lookup!$B:$B,MATCH(INDEX(lunar_ref!$C:$C,A$31+1),lookup!$A:$A,0)),"")</f>
        <v/>
      </c>
      <c r="B35" s="26">
        <f>IFERROR(INDEX(lookup!$B:$B,MATCH(INDEX(lunar_ref!$C:$C,B$31+1),lookup!$A:$A,0)),"")</f>
        <v/>
      </c>
      <c r="C35" s="26">
        <f>IFERROR(INDEX(lookup!$B:$B,MATCH(INDEX(lunar_ref!$C:$C,C$31+1),lookup!$A:$A,0)),"")</f>
        <v/>
      </c>
      <c r="D35" s="26">
        <f>IFERROR(INDEX(lookup!$B:$B,MATCH(INDEX(lunar_ref!$C:$C,D$31+1),lookup!$A:$A,0)),"")</f>
        <v/>
      </c>
      <c r="E35" s="26">
        <f>IFERROR(INDEX(lookup!$B:$B,MATCH(INDEX(lunar_ref!$C:$C,E$31+1),lookup!$A:$A,0)),"")</f>
        <v/>
      </c>
      <c r="F35" s="26">
        <f>IFERROR(INDEX(lookup!$B:$B,MATCH(INDEX(lunar_ref!$C:$C,F$31+1),lookup!$A:$A,0)),"")</f>
        <v/>
      </c>
      <c r="G35" s="26">
        <f>IFERROR(INDEX(lookup!$B:$B,MATCH(INDEX(lunar_ref!$C:$C,G$31+1),lookup!$A:$A,0)),"")</f>
        <v/>
      </c>
      <c r="I35" s="26" t="inlineStr">
        <is>
          <t>day+1 number</t>
        </is>
      </c>
    </row>
    <row r="36" hidden="1" s="10">
      <c r="A36" s="26">
        <f>IFERROR(INDEX(lookup!$B:$B,MATCH(INDEX(lunar_ref!$C:$C,A$31+2),lookup!$A:$A,0)),"")</f>
        <v/>
      </c>
      <c r="B36" s="26">
        <f>IFERROR(INDEX(lookup!$B:$B,MATCH(INDEX(lunar_ref!$C:$C,B$31+2),lookup!$A:$A,0)),"")</f>
        <v/>
      </c>
      <c r="C36" s="26">
        <f>IFERROR(INDEX(lookup!$B:$B,MATCH(INDEX(lunar_ref!$C:$C,C$31+2),lookup!$A:$A,0)),"")</f>
        <v/>
      </c>
      <c r="D36" s="26">
        <f>IFERROR(INDEX(lookup!$B:$B,MATCH(INDEX(lunar_ref!$C:$C,D$31+2),lookup!$A:$A,0)),"")</f>
        <v/>
      </c>
      <c r="E36" s="26">
        <f>IFERROR(INDEX(lookup!$B:$B,MATCH(INDEX(lunar_ref!$C:$C,E$31+2),lookup!$A:$A,0)),"")</f>
        <v/>
      </c>
      <c r="F36" s="26">
        <f>IFERROR(INDEX(lookup!$B:$B,MATCH(INDEX(lunar_ref!$C:$C,F$31+2),lookup!$A:$A,0)),"")</f>
        <v/>
      </c>
      <c r="G36" s="26">
        <f>IFERROR(INDEX(lookup!$B:$B,MATCH(INDEX(lunar_ref!$C:$C,G$31+2),lookup!$A:$A,0)),"")</f>
        <v/>
      </c>
      <c r="I36" s="26" t="inlineStr">
        <is>
          <t>day+2 number</t>
        </is>
      </c>
    </row>
    <row r="37" hidden="1" s="10">
      <c r="A37" s="26">
        <f>IFERROR(INDEX(lookup!$E:$E,MATCH(A$32,lookup!$D:$D,0)),"")</f>
        <v/>
      </c>
      <c r="B37" s="26">
        <f>IFERROR(INDEX(lookup!$E:$E,MATCH(B$32,lookup!$D:$D,0)),"")</f>
        <v/>
      </c>
      <c r="C37" s="26">
        <f>IFERROR(INDEX(lookup!$E:$E,MATCH(C$32,lookup!$D:$D,0)),"")</f>
        <v/>
      </c>
      <c r="D37" s="26">
        <f>IFERROR(INDEX(lookup!$E:$E,MATCH(D$32,lookup!$D:$D,0)),"")</f>
        <v/>
      </c>
      <c r="E37" s="26">
        <f>IFERROR(INDEX(lookup!$E:$E,MATCH(E$32,lookup!$D:$D,0)),"")</f>
        <v/>
      </c>
      <c r="F37" s="26">
        <f>IFERROR(INDEX(lookup!$E:$E,MATCH(F$32,lookup!$D:$D,0)),"")</f>
        <v/>
      </c>
      <c r="G37" s="26">
        <f>IFERROR(INDEX(lookup!$E:$E,MATCH(G$32,lookup!$D:$D,0)),"")</f>
        <v/>
      </c>
      <c r="I37" s="26" t="inlineStr">
        <is>
          <t>month number</t>
        </is>
      </c>
    </row>
    <row r="38" hidden="1" s="10">
      <c r="A38" s="26">
        <f>IFERROR(INDEX(lookup!$G:$G,MATCH(A$32,lookup!$D:$D,0)),"")</f>
        <v/>
      </c>
      <c r="B38" s="26">
        <f>IFERROR(INDEX(lookup!$G:$G,MATCH(B$32,lookup!$D:$D,0)),"")</f>
        <v/>
      </c>
      <c r="C38" s="26">
        <f>IFERROR(INDEX(lookup!$G:$G,MATCH(C$32,lookup!$D:$D,0)),"")</f>
        <v/>
      </c>
      <c r="D38" s="26">
        <f>IFERROR(INDEX(lookup!$G:$G,MATCH(D$32,lookup!$D:$D,0)),"")</f>
        <v/>
      </c>
      <c r="E38" s="26">
        <f>IFERROR(INDEX(lookup!$G:$G,MATCH(E$32,lookup!$D:$D,0)),"")</f>
        <v/>
      </c>
      <c r="F38" s="26">
        <f>IFERROR(INDEX(lookup!$G:$G,MATCH(F$32,lookup!$D:$D,0)),"")</f>
        <v/>
      </c>
      <c r="G38" s="26">
        <f>IFERROR(INDEX(lookup!$G:$G,MATCH(G$32,lookup!$D:$D,0)),"")</f>
        <v/>
      </c>
      <c r="I38" s="26" t="inlineStr">
        <is>
          <t>leap?</t>
        </is>
      </c>
    </row>
    <row r="39" hidden="1" s="10">
      <c r="A39" s="26">
        <f>IF(A$34="","",IF(OR(A$34=8,A$34=14,A$34=15,A$34=23,A$35=1,A$36=1),"yes",""))</f>
        <v/>
      </c>
      <c r="B39" s="26">
        <f>IF(B$34="","",IF(OR(B$34=8,B$34=14,B$34=15,B$34=23,B$35=1,B$36=1),"yes",""))</f>
        <v/>
      </c>
      <c r="C39" s="26">
        <f>IF(C$34="","",IF(OR(C$34=8,C$34=14,C$34=15,C$34=23,C$35=1,C$36=1),"yes",""))</f>
        <v/>
      </c>
      <c r="D39" s="26">
        <f>IF(D$34="","",IF(OR(D$34=8,D$34=14,D$34=15,D$34=23,D$35=1,D$36=1),"yes",""))</f>
        <v/>
      </c>
      <c r="E39" s="26">
        <f>IF(E$34="","",IF(OR(E$34=8,E$34=14,E$34=15,E$34=23,E$35=1,E$36=1),"yes",""))</f>
        <v/>
      </c>
      <c r="F39" s="26">
        <f>IF(F$34="","",IF(OR(F$34=8,F$34=14,F$34=15,F$34=23,F$35=1,F$36=1),"yes",""))</f>
        <v/>
      </c>
      <c r="G39" s="26">
        <f>IF(G$34="","",IF(OR(G$34=8,G$34=14,G$34=15,G$34=23,G$35=1,G$36=1),"yes",""))</f>
        <v/>
      </c>
      <c r="I39" s="26" t="inlineStr">
        <is>
          <t>fast day</t>
        </is>
      </c>
    </row>
    <row r="40" hidden="1" s="10">
      <c r="A40" s="26">
        <f>IF(A$34=1,"New",IF(A$34=15,"Full",""))</f>
        <v/>
      </c>
      <c r="B40" s="26">
        <f>IF(B$34=1,"New",IF(B$34=15,"Full",""))</f>
        <v/>
      </c>
      <c r="C40" s="26">
        <f>IF(C$34=1,"New",IF(C$34=15,"Full",""))</f>
        <v/>
      </c>
      <c r="D40" s="26">
        <f>IF(D$34=1,"New",IF(D$34=15,"Full",""))</f>
        <v/>
      </c>
      <c r="E40" s="26">
        <f>IF(E$34=1,"New",IF(E$34=15,"Full",""))</f>
        <v/>
      </c>
      <c r="F40" s="26">
        <f>IF(F$34=1,"New",IF(F$34=15,"Full",""))</f>
        <v/>
      </c>
      <c r="G40" s="26">
        <f>IF(G$34=1,"New",IF(G$34=15,"Full",""))</f>
        <v/>
      </c>
      <c r="I40" s="26" t="inlineStr">
        <is>
          <t>moon</t>
        </is>
      </c>
    </row>
  </sheetData>
  <conditionalFormatting sqref="A5:C6">
    <cfRule type="expression" priority="1" dxfId="5" stopIfTrue="0">
      <formula>AND($A$39="yes",$A$40&lt;&gt;"")</formula>
    </cfRule>
    <cfRule type="expression" priority="2" dxfId="3" stopIfTrue="0">
      <formula>AND($A$39="yes",$A$40="")</formula>
    </cfRule>
    <cfRule type="expression" priority="3" dxfId="6" stopIfTrue="0">
      <formula>AND($A$39&lt;&gt;"yes",$A$40&lt;&gt;"")</formula>
    </cfRule>
  </conditionalFormatting>
  <conditionalFormatting sqref="A8:C9">
    <cfRule type="expression" priority="4" dxfId="5" stopIfTrue="0">
      <formula>AND($B$39="yes",$B$40&lt;&gt;"")</formula>
    </cfRule>
    <cfRule type="expression" priority="5" dxfId="3" stopIfTrue="0">
      <formula>AND($B$39="yes",$B$40="")</formula>
    </cfRule>
    <cfRule type="expression" priority="6" dxfId="6" stopIfTrue="0">
      <formula>AND($B$39&lt;&gt;"yes",$B$40&lt;&gt;"")</formula>
    </cfRule>
  </conditionalFormatting>
  <conditionalFormatting sqref="A11:C12">
    <cfRule type="expression" priority="7" dxfId="5" stopIfTrue="0">
      <formula>AND($C$39="yes",$C$40&lt;&gt;"")</formula>
    </cfRule>
    <cfRule type="expression" priority="8" dxfId="3" stopIfTrue="0">
      <formula>AND($C$39="yes",$C$40="")</formula>
    </cfRule>
    <cfRule type="expression" priority="9" dxfId="6" stopIfTrue="0">
      <formula>AND($C$39&lt;&gt;"yes",$C$40&lt;&gt;"")</formula>
    </cfRule>
  </conditionalFormatting>
  <conditionalFormatting sqref="A14:C15">
    <cfRule type="expression" priority="10" dxfId="5" stopIfTrue="0">
      <formula>AND($D$39="yes",$D$40&lt;&gt;"")</formula>
    </cfRule>
    <cfRule type="expression" priority="11" dxfId="3" stopIfTrue="0">
      <formula>AND($D$39="yes",$D$40="")</formula>
    </cfRule>
    <cfRule type="expression" priority="12" dxfId="6" stopIfTrue="0">
      <formula>AND($D$39&lt;&gt;"yes",$D$40&lt;&gt;"")</formula>
    </cfRule>
  </conditionalFormatting>
  <conditionalFormatting sqref="A17:C18">
    <cfRule type="expression" priority="13" dxfId="5" stopIfTrue="0">
      <formula>AND($E$39="yes",$E$40&lt;&gt;"")</formula>
    </cfRule>
    <cfRule type="expression" priority="14" dxfId="3" stopIfTrue="0">
      <formula>AND($E$39="yes",$E$40="")</formula>
    </cfRule>
    <cfRule type="expression" priority="15" dxfId="6" stopIfTrue="0">
      <formula>AND($E$39&lt;&gt;"yes",$E$40&lt;&gt;"")</formula>
    </cfRule>
  </conditionalFormatting>
  <conditionalFormatting sqref="A20:C21">
    <cfRule type="expression" priority="16" dxfId="5" stopIfTrue="0">
      <formula>AND($F$39="yes",$F$40&lt;&gt;"")</formula>
    </cfRule>
    <cfRule type="expression" priority="17" dxfId="3" stopIfTrue="0">
      <formula>AND($F$39="yes",$F$40="")</formula>
    </cfRule>
    <cfRule type="expression" priority="18" dxfId="6" stopIfTrue="0">
      <formula>AND($F$39&lt;&gt;"yes",$F$40&lt;&gt;"")</formula>
    </cfRule>
  </conditionalFormatting>
  <conditionalFormatting sqref="A23:C24">
    <cfRule type="expression" priority="19" dxfId="5" stopIfTrue="0">
      <formula>AND($G$39="yes",$G$40&lt;&gt;"")</formula>
    </cfRule>
    <cfRule type="expression" priority="20" dxfId="3" stopIfTrue="0">
      <formula>AND($G$39="yes",$G$40="")</formula>
    </cfRule>
    <cfRule type="expression" priority="21" dxfId="6" stopIfTrue="0">
      <formula>AND($G$39&lt;&gt;"yes",$G$40&lt;&gt;"")</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K506"/>
  <sheetViews>
    <sheetView workbookViewId="0">
      <selection activeCell="A1" sqref="A1"/>
    </sheetView>
  </sheetViews>
  <sheetFormatPr baseColWidth="8" defaultColWidth="12.63" defaultRowHeight="15" customHeight="1"/>
  <cols>
    <col width="12.63" customWidth="1" style="10" min="1" max="6"/>
    <col width="14" customWidth="1" style="10" min="8" max="8"/>
    <col width="16" customWidth="1" style="10" min="9" max="9"/>
    <col width="18" customWidth="1" style="10" min="10" max="10"/>
    <col width="46" customWidth="1" style="10" min="11" max="11"/>
  </cols>
  <sheetData>
    <row r="1" ht="15.75" customHeight="1" s="10">
      <c r="A1" s="1" t="inlineStr">
        <is>
          <t>date</t>
        </is>
      </c>
      <c r="B1" s="1" t="inlineStr">
        <is>
          <t>weekday</t>
        </is>
      </c>
      <c r="C1" s="1" t="inlineStr">
        <is>
          <t>lunar_month</t>
        </is>
      </c>
      <c r="D1" s="1" t="inlineStr">
        <is>
          <t>lunar_day</t>
        </is>
      </c>
      <c r="E1" s="1" t="inlineStr">
        <is>
          <t>lunar_day_eng</t>
        </is>
      </c>
      <c r="F1" s="1" t="inlineStr">
        <is>
          <t>moon_phase</t>
        </is>
      </c>
      <c r="G1" s="3" t="inlineStr">
        <is>
          <t>dharma_event</t>
        </is>
      </c>
      <c r="H1" s="5" t="inlineStr">
        <is>
          <t>六齋日</t>
        </is>
      </c>
      <c r="I1" s="2" t="inlineStr">
        <is>
          <t>lunar_month_eng</t>
        </is>
      </c>
      <c r="J1" s="5" t="inlineStr">
        <is>
          <t>三長齋月</t>
        </is>
      </c>
      <c r="K1" s="11" t="inlineStr">
        <is>
          <t>leap_month</t>
        </is>
      </c>
    </row>
    <row r="2" ht="15.75" customHeight="1" s="10">
      <c r="A2" s="6" t="n">
        <v>46246</v>
      </c>
      <c r="B2" s="1">
        <f>TEXT(A2,"ddd")</f>
        <v/>
      </c>
      <c r="C2" s="1" t="inlineStr">
        <is>
          <t>六月</t>
        </is>
      </c>
      <c r="D2" s="1" t="inlineStr">
        <is>
          <t>三十</t>
        </is>
      </c>
      <c r="E2" s="1">
        <f t="array" ref="E2">_xlfn.XLOOKUP($D2,lookup!$A:$A,lookup!$B:$B)</f>
        <v/>
      </c>
      <c r="F2" s="1" t="n"/>
      <c r="H2" s="5">
        <f>IF($E2="","",IF(OR($E2=8,$E2=14,$E2=15,$E2=23,$E3=1,$E4=1),"Fast day",""))</f>
        <v/>
      </c>
      <c r="I2" s="5">
        <f>IFERROR(INDEX(lookup!$E:$E,MATCH($C2,lookup!$D:$D,0)),"")</f>
        <v/>
      </c>
      <c r="J2" s="5">
        <f>IF($I2="","",IF(OR($I2=1,$I2=5,$I2=9),IF($K2="","Long fast month","Long fast month (LEAP)"),""))</f>
        <v/>
      </c>
      <c r="K2" s="0">
        <f>IFERROR(IF(INDEX(lookup!$G:$G,MATCH($C2,lookup!$D:$D,0))="LEAP","LEAP MONTH - counts as month "&amp;$I2&amp;", flagged for review",""),"")</f>
        <v/>
      </c>
    </row>
    <row r="3" ht="15.75" customHeight="1" s="10">
      <c r="A3" s="6">
        <f>A2+1</f>
        <v/>
      </c>
      <c r="B3" s="1">
        <f>TEXT(A3,"ddd")</f>
        <v/>
      </c>
      <c r="C3" s="1" t="inlineStr">
        <is>
          <t>七月</t>
        </is>
      </c>
      <c r="D3" s="1" t="inlineStr">
        <is>
          <t>初一</t>
        </is>
      </c>
      <c r="E3" s="1">
        <f t="array" ref="E3">_xlfn.XLOOKUP($D3,lookup!$A:$A,lookup!$B:$B)</f>
        <v/>
      </c>
      <c r="F3" s="1" t="inlineStr">
        <is>
          <t>New</t>
        </is>
      </c>
      <c r="H3" s="5">
        <f>IF($E3="","",IF(OR($E3=8,$E3=14,$E3=15,$E3=23,$E4=1,$E5=1),"Fast day",""))</f>
        <v/>
      </c>
      <c r="I3" s="5">
        <f>IFERROR(INDEX(lookup!$E:$E,MATCH($C3,lookup!$D:$D,0)),"")</f>
        <v/>
      </c>
      <c r="J3" s="5">
        <f>IF($I3="","",IF(OR($I3=1,$I3=5,$I3=9),IF($K3="","Long fast month","Long fast month (LEAP)"),""))</f>
        <v/>
      </c>
      <c r="K3" s="0">
        <f>IFERROR(IF(INDEX(lookup!$G:$G,MATCH($C3,lookup!$D:$D,0))="LEAP","LEAP MONTH - counts as month "&amp;$I3&amp;", flagged for review",""),"")</f>
        <v/>
      </c>
    </row>
    <row r="4" ht="15.75" customHeight="1" s="10">
      <c r="A4" s="6">
        <f>A3+1</f>
        <v/>
      </c>
      <c r="B4" s="1">
        <f>TEXT(A4,"ddd")</f>
        <v/>
      </c>
      <c r="C4" s="1">
        <f>IF($E4=1,"?",C3)</f>
        <v/>
      </c>
      <c r="D4" s="1" t="inlineStr">
        <is>
          <t>初二</t>
        </is>
      </c>
      <c r="E4" s="1">
        <f t="array" ref="E4">_xlfn.XLOOKUP($D4,lookup!$A:$A,lookup!$B:$B)</f>
        <v/>
      </c>
      <c r="F4" s="1" t="n"/>
      <c r="H4" s="5">
        <f>IF($E4="","",IF(OR($E4=8,$E4=14,$E4=15,$E4=23,$E5=1,$E6=1),"Fast day",""))</f>
        <v/>
      </c>
      <c r="I4" s="5">
        <f>IFERROR(INDEX(lookup!$E:$E,MATCH($C4,lookup!$D:$D,0)),"")</f>
        <v/>
      </c>
      <c r="J4" s="5">
        <f>IF($I4="","",IF(OR($I4=1,$I4=5,$I4=9),IF($K4="","Long fast month","Long fast month (LEAP)"),""))</f>
        <v/>
      </c>
      <c r="K4" s="0">
        <f>IFERROR(IF(INDEX(lookup!$G:$G,MATCH($C4,lookup!$D:$D,0))="LEAP","LEAP MONTH - counts as month "&amp;$I4&amp;", flagged for review",""),"")</f>
        <v/>
      </c>
    </row>
    <row r="5" ht="15.75" customHeight="1" s="10">
      <c r="A5" s="6">
        <f>A4+1</f>
        <v/>
      </c>
      <c r="B5" s="1">
        <f>TEXT(A5,"ddd")</f>
        <v/>
      </c>
      <c r="C5" s="1">
        <f>IF($E5=1,"?",C4)</f>
        <v/>
      </c>
      <c r="D5" s="1" t="inlineStr">
        <is>
          <t>初三</t>
        </is>
      </c>
      <c r="E5" s="1">
        <f t="array" ref="E5">_xlfn.XLOOKUP($D5,lookup!$A:$A,lookup!$B:$B)</f>
        <v/>
      </c>
      <c r="F5" s="1" t="n"/>
      <c r="H5" s="5">
        <f>IF($E5="","",IF(OR($E5=8,$E5=14,$E5=15,$E5=23,$E6=1,$E7=1),"Fast day",""))</f>
        <v/>
      </c>
      <c r="I5" s="5">
        <f>IFERROR(INDEX(lookup!$E:$E,MATCH($C5,lookup!$D:$D,0)),"")</f>
        <v/>
      </c>
      <c r="J5" s="5">
        <f>IF($I5="","",IF(OR($I5=1,$I5=5,$I5=9),IF($K5="","Long fast month","Long fast month (LEAP)"),""))</f>
        <v/>
      </c>
      <c r="K5" s="0">
        <f>IFERROR(IF(INDEX(lookup!$G:$G,MATCH($C5,lookup!$D:$D,0))="LEAP","LEAP MONTH - counts as month "&amp;$I5&amp;", flagged for review",""),"")</f>
        <v/>
      </c>
    </row>
    <row r="6" ht="15.75" customHeight="1" s="10">
      <c r="A6" s="6">
        <f>A5+1</f>
        <v/>
      </c>
      <c r="B6" s="1">
        <f>TEXT(A6,"ddd")</f>
        <v/>
      </c>
      <c r="C6" s="1">
        <f>IF($E6=1,"?",C5)</f>
        <v/>
      </c>
      <c r="D6" s="1" t="inlineStr">
        <is>
          <t>初四</t>
        </is>
      </c>
      <c r="E6" s="1">
        <f t="array" ref="E6">_xlfn.XLOOKUP($D6,lookup!$A:$A,lookup!$B:$B)</f>
        <v/>
      </c>
      <c r="F6" s="1" t="n"/>
      <c r="H6" s="5">
        <f>IF($E6="","",IF(OR($E6=8,$E6=14,$E6=15,$E6=23,$E7=1,$E8=1),"Fast day",""))</f>
        <v/>
      </c>
      <c r="I6" s="5">
        <f>IFERROR(INDEX(lookup!$E:$E,MATCH($C6,lookup!$D:$D,0)),"")</f>
        <v/>
      </c>
      <c r="J6" s="5">
        <f>IF($I6="","",IF(OR($I6=1,$I6=5,$I6=9),IF($K6="","Long fast month","Long fast month (LEAP)"),""))</f>
        <v/>
      </c>
      <c r="K6" s="0">
        <f>IFERROR(IF(INDEX(lookup!$G:$G,MATCH($C6,lookup!$D:$D,0))="LEAP","LEAP MONTH - counts as month "&amp;$I6&amp;", flagged for review",""),"")</f>
        <v/>
      </c>
    </row>
    <row r="7" ht="15.75" customHeight="1" s="10">
      <c r="A7" s="6">
        <f>A6+1</f>
        <v/>
      </c>
      <c r="B7" s="1">
        <f>TEXT(A7,"ddd")</f>
        <v/>
      </c>
      <c r="C7" s="1">
        <f>IF($E7=1,"?",C6)</f>
        <v/>
      </c>
      <c r="D7" s="1" t="inlineStr">
        <is>
          <t>初五</t>
        </is>
      </c>
      <c r="E7" s="1">
        <f t="array" ref="E7">_xlfn.XLOOKUP($D7,lookup!$A:$A,lookup!$B:$B)</f>
        <v/>
      </c>
      <c r="F7" s="1" t="n"/>
      <c r="H7" s="5">
        <f>IF($E7="","",IF(OR($E7=8,$E7=14,$E7=15,$E7=23,$E8=1,$E9=1),"Fast day",""))</f>
        <v/>
      </c>
      <c r="I7" s="5">
        <f>IFERROR(INDEX(lookup!$E:$E,MATCH($C7,lookup!$D:$D,0)),"")</f>
        <v/>
      </c>
      <c r="J7" s="5">
        <f>IF($I7="","",IF(OR($I7=1,$I7=5,$I7=9),IF($K7="","Long fast month","Long fast month (LEAP)"),""))</f>
        <v/>
      </c>
      <c r="K7" s="0">
        <f>IFERROR(IF(INDEX(lookup!$G:$G,MATCH($C7,lookup!$D:$D,0))="LEAP","LEAP MONTH - counts as month "&amp;$I7&amp;", flagged for review",""),"")</f>
        <v/>
      </c>
    </row>
    <row r="8" ht="15.75" customHeight="1" s="10">
      <c r="A8" s="6">
        <f>A7+1</f>
        <v/>
      </c>
      <c r="B8" s="1">
        <f>TEXT(A8,"ddd")</f>
        <v/>
      </c>
      <c r="C8" s="1">
        <f>IF($E8=1,"?",C7)</f>
        <v/>
      </c>
      <c r="D8" s="1" t="inlineStr">
        <is>
          <t>初六</t>
        </is>
      </c>
      <c r="E8" s="1">
        <f t="array" ref="E8">_xlfn.XLOOKUP($D8,lookup!$A:$A,lookup!$B:$B)</f>
        <v/>
      </c>
      <c r="F8" s="1" t="n"/>
      <c r="H8" s="5">
        <f>IF($E8="","",IF(OR($E8=8,$E8=14,$E8=15,$E8=23,$E9=1,$E10=1),"Fast day",""))</f>
        <v/>
      </c>
      <c r="I8" s="5">
        <f>IFERROR(INDEX(lookup!$E:$E,MATCH($C8,lookup!$D:$D,0)),"")</f>
        <v/>
      </c>
      <c r="J8" s="5">
        <f>IF($I8="","",IF(OR($I8=1,$I8=5,$I8=9),IF($K8="","Long fast month","Long fast month (LEAP)"),""))</f>
        <v/>
      </c>
      <c r="K8" s="0">
        <f>IFERROR(IF(INDEX(lookup!$G:$G,MATCH($C8,lookup!$D:$D,0))="LEAP","LEAP MONTH - counts as month "&amp;$I8&amp;", flagged for review",""),"")</f>
        <v/>
      </c>
    </row>
    <row r="9" ht="15.75" customHeight="1" s="10">
      <c r="A9" s="6">
        <f>A8+1</f>
        <v/>
      </c>
      <c r="B9" s="1">
        <f>TEXT(A9,"ddd")</f>
        <v/>
      </c>
      <c r="C9" s="1">
        <f>IF($E9=1,"?",C8)</f>
        <v/>
      </c>
      <c r="D9" s="1" t="inlineStr">
        <is>
          <t>初七</t>
        </is>
      </c>
      <c r="E9" s="1">
        <f t="array" ref="E9">_xlfn.XLOOKUP($D9,lookup!$A:$A,lookup!$B:$B)</f>
        <v/>
      </c>
      <c r="F9" s="1" t="n"/>
      <c r="H9" s="5">
        <f>IF($E9="","",IF(OR($E9=8,$E9=14,$E9=15,$E9=23,$E10=1,$E11=1),"Fast day",""))</f>
        <v/>
      </c>
      <c r="I9" s="5">
        <f>IFERROR(INDEX(lookup!$E:$E,MATCH($C9,lookup!$D:$D,0)),"")</f>
        <v/>
      </c>
      <c r="J9" s="5">
        <f>IF($I9="","",IF(OR($I9=1,$I9=5,$I9=9),IF($K9="","Long fast month","Long fast month (LEAP)"),""))</f>
        <v/>
      </c>
      <c r="K9" s="0">
        <f>IFERROR(IF(INDEX(lookup!$G:$G,MATCH($C9,lookup!$D:$D,0))="LEAP","LEAP MONTH - counts as month "&amp;$I9&amp;", flagged for review",""),"")</f>
        <v/>
      </c>
    </row>
    <row r="10" ht="15.75" customHeight="1" s="10">
      <c r="A10" s="6">
        <f>A9+1</f>
        <v/>
      </c>
      <c r="B10" s="1">
        <f>TEXT(A10,"ddd")</f>
        <v/>
      </c>
      <c r="C10" s="1">
        <f>IF($E10=1,"?",C9)</f>
        <v/>
      </c>
      <c r="D10" s="1" t="inlineStr">
        <is>
          <t>初八</t>
        </is>
      </c>
      <c r="E10" s="1">
        <f t="array" ref="E10">_xlfn.XLOOKUP($D10,lookup!$A:$A,lookup!$B:$B)</f>
        <v/>
      </c>
      <c r="F10" s="1" t="n"/>
      <c r="H10" s="5">
        <f>IF($E10="","",IF(OR($E10=8,$E10=14,$E10=15,$E10=23,$E11=1,$E12=1),"Fast day",""))</f>
        <v/>
      </c>
      <c r="I10" s="5">
        <f>IFERROR(INDEX(lookup!$E:$E,MATCH($C10,lookup!$D:$D,0)),"")</f>
        <v/>
      </c>
      <c r="J10" s="5">
        <f>IF($I10="","",IF(OR($I10=1,$I10=5,$I10=9),IF($K10="","Long fast month","Long fast month (LEAP)"),""))</f>
        <v/>
      </c>
      <c r="K10" s="0">
        <f>IFERROR(IF(INDEX(lookup!$G:$G,MATCH($C10,lookup!$D:$D,0))="LEAP","LEAP MONTH - counts as month "&amp;$I10&amp;", flagged for review",""),"")</f>
        <v/>
      </c>
    </row>
    <row r="11" ht="15.75" customHeight="1" s="10">
      <c r="A11" s="6">
        <f>A10+1</f>
        <v/>
      </c>
      <c r="B11" s="1">
        <f>TEXT(A11,"ddd")</f>
        <v/>
      </c>
      <c r="C11" s="1">
        <f>IF($E11=1,"?",C10)</f>
        <v/>
      </c>
      <c r="D11" s="1" t="inlineStr">
        <is>
          <t>初九</t>
        </is>
      </c>
      <c r="E11" s="1">
        <f t="array" ref="E11">_xlfn.XLOOKUP($D11,lookup!$A:$A,lookup!$B:$B)</f>
        <v/>
      </c>
      <c r="F11" s="1" t="n"/>
      <c r="H11" s="5">
        <f>IF($E11="","",IF(OR($E11=8,$E11=14,$E11=15,$E11=23,$E12=1,$E13=1),"Fast day",""))</f>
        <v/>
      </c>
      <c r="I11" s="5">
        <f>IFERROR(INDEX(lookup!$E:$E,MATCH($C11,lookup!$D:$D,0)),"")</f>
        <v/>
      </c>
      <c r="J11" s="5">
        <f>IF($I11="","",IF(OR($I11=1,$I11=5,$I11=9),IF($K11="","Long fast month","Long fast month (LEAP)"),""))</f>
        <v/>
      </c>
      <c r="K11" s="0">
        <f>IFERROR(IF(INDEX(lookup!$G:$G,MATCH($C11,lookup!$D:$D,0))="LEAP","LEAP MONTH - counts as month "&amp;$I11&amp;", flagged for review",""),"")</f>
        <v/>
      </c>
    </row>
    <row r="12" ht="15.75" customHeight="1" s="10">
      <c r="A12" s="6">
        <f>A11+1</f>
        <v/>
      </c>
      <c r="B12" s="1">
        <f>TEXT(A12,"ddd")</f>
        <v/>
      </c>
      <c r="C12" s="1">
        <f>IF($E12=1,"?",C11)</f>
        <v/>
      </c>
      <c r="D12" s="1" t="inlineStr">
        <is>
          <t>初十</t>
        </is>
      </c>
      <c r="E12" s="1">
        <f t="array" ref="E12">_xlfn.XLOOKUP($D12,lookup!$A:$A,lookup!$B:$B)</f>
        <v/>
      </c>
      <c r="F12" s="1" t="n"/>
      <c r="G12" s="3" t="inlineStr">
        <is>
          <t>Monthly Memorial of Venerable Master Hua’s Entering Nirvana</t>
        </is>
      </c>
      <c r="H12" s="5">
        <f>IF($E12="","",IF(OR($E12=8,$E12=14,$E12=15,$E12=23,$E13=1,$E14=1),"Fast day",""))</f>
        <v/>
      </c>
      <c r="I12" s="5">
        <f>IFERROR(INDEX(lookup!$E:$E,MATCH($C12,lookup!$D:$D,0)),"")</f>
        <v/>
      </c>
      <c r="J12" s="5">
        <f>IF($I12="","",IF(OR($I12=1,$I12=5,$I12=9),IF($K12="","Long fast month","Long fast month (LEAP)"),""))</f>
        <v/>
      </c>
      <c r="K12" s="0">
        <f>IFERROR(IF(INDEX(lookup!$G:$G,MATCH($C12,lookup!$D:$D,0))="LEAP","LEAP MONTH - counts as month "&amp;$I12&amp;", flagged for review",""),"")</f>
        <v/>
      </c>
    </row>
    <row r="13" ht="15.75" customHeight="1" s="10">
      <c r="A13" s="6">
        <f>A12+1</f>
        <v/>
      </c>
      <c r="B13" s="1">
        <f>TEXT(A13,"ddd")</f>
        <v/>
      </c>
      <c r="C13" s="1">
        <f>IF($E13=1,"?",C12)</f>
        <v/>
      </c>
      <c r="D13" s="1" t="inlineStr">
        <is>
          <t>十一</t>
        </is>
      </c>
      <c r="E13" s="1">
        <f t="array" ref="E13">_xlfn.XLOOKUP($D13,lookup!$A:$A,lookup!$B:$B)</f>
        <v/>
      </c>
      <c r="F13" s="1" t="n"/>
      <c r="G13" s="3" t="inlineStr">
        <is>
          <t>Celebration of Ullambana (Observed)</t>
        </is>
      </c>
      <c r="H13" s="5">
        <f>IF($E13="","",IF(OR($E13=8,$E13=14,$E13=15,$E13=23,$E14=1,$E15=1),"Fast day",""))</f>
        <v/>
      </c>
      <c r="I13" s="5">
        <f>IFERROR(INDEX(lookup!$E:$E,MATCH($C13,lookup!$D:$D,0)),"")</f>
        <v/>
      </c>
      <c r="J13" s="5">
        <f>IF($I13="","",IF(OR($I13=1,$I13=5,$I13=9),IF($K13="","Long fast month","Long fast month (LEAP)"),""))</f>
        <v/>
      </c>
      <c r="K13" s="0">
        <f>IFERROR(IF(INDEX(lookup!$G:$G,MATCH($C13,lookup!$D:$D,0))="LEAP","LEAP MONTH - counts as month "&amp;$I13&amp;", flagged for review",""),"")</f>
        <v/>
      </c>
    </row>
    <row r="14" ht="15.75" customHeight="1" s="10">
      <c r="A14" s="6">
        <f>A13+1</f>
        <v/>
      </c>
      <c r="B14" s="1">
        <f>TEXT(A14,"ddd")</f>
        <v/>
      </c>
      <c r="C14" s="1">
        <f>IF($E14=1,"?",C13)</f>
        <v/>
      </c>
      <c r="D14" s="1" t="inlineStr">
        <is>
          <t>十二</t>
        </is>
      </c>
      <c r="E14" s="1">
        <f t="array" ref="E14">_xlfn.XLOOKUP($D14,lookup!$A:$A,lookup!$B:$B)</f>
        <v/>
      </c>
      <c r="F14" s="1" t="n"/>
      <c r="H14" s="5">
        <f>IF($E14="","",IF(OR($E14=8,$E14=14,$E14=15,$E14=23,$E15=1,$E16=1),"Fast day",""))</f>
        <v/>
      </c>
      <c r="I14" s="5">
        <f>IFERROR(INDEX(lookup!$E:$E,MATCH($C14,lookup!$D:$D,0)),"")</f>
        <v/>
      </c>
      <c r="J14" s="5">
        <f>IF($I14="","",IF(OR($I14=1,$I14=5,$I14=9),IF($K14="","Long fast month","Long fast month (LEAP)"),""))</f>
        <v/>
      </c>
      <c r="K14" s="0">
        <f>IFERROR(IF(INDEX(lookup!$G:$G,MATCH($C14,lookup!$D:$D,0))="LEAP","LEAP MONTH - counts as month "&amp;$I14&amp;", flagged for review",""),"")</f>
        <v/>
      </c>
    </row>
    <row r="15" ht="15.75" customHeight="1" s="10">
      <c r="A15" s="6">
        <f>A14+1</f>
        <v/>
      </c>
      <c r="B15" s="1">
        <f>TEXT(A15,"ddd")</f>
        <v/>
      </c>
      <c r="C15" s="1">
        <f>IF($E15=1,"?",C14)</f>
        <v/>
      </c>
      <c r="D15" s="1" t="inlineStr">
        <is>
          <t>十三</t>
        </is>
      </c>
      <c r="E15" s="1">
        <f t="array" ref="E15">_xlfn.XLOOKUP($D15,lookup!$A:$A,lookup!$B:$B)</f>
        <v/>
      </c>
      <c r="F15" s="1" t="n"/>
      <c r="G15" s="3" t="inlineStr">
        <is>
          <t>Great Strength Bodhisattva’s Birthday</t>
        </is>
      </c>
      <c r="H15" s="5">
        <f>IF($E15="","",IF(OR($E15=8,$E15=14,$E15=15,$E15=23,$E16=1,$E17=1),"Fast day",""))</f>
        <v/>
      </c>
      <c r="I15" s="5">
        <f>IFERROR(INDEX(lookup!$E:$E,MATCH($C15,lookup!$D:$D,0)),"")</f>
        <v/>
      </c>
      <c r="J15" s="5">
        <f>IF($I15="","",IF(OR($I15=1,$I15=5,$I15=9),IF($K15="","Long fast month","Long fast month (LEAP)"),""))</f>
        <v/>
      </c>
      <c r="K15" s="0">
        <f>IFERROR(IF(INDEX(lookup!$G:$G,MATCH($C15,lookup!$D:$D,0))="LEAP","LEAP MONTH - counts as month "&amp;$I15&amp;", flagged for review",""),"")</f>
        <v/>
      </c>
    </row>
    <row r="16" ht="15.75" customHeight="1" s="10">
      <c r="A16" s="6">
        <f>A15+1</f>
        <v/>
      </c>
      <c r="B16" s="1">
        <f>TEXT(A16,"ddd")</f>
        <v/>
      </c>
      <c r="C16" s="1">
        <f>IF($E16=1,"?",C15)</f>
        <v/>
      </c>
      <c r="D16" s="1" t="inlineStr">
        <is>
          <t>十四</t>
        </is>
      </c>
      <c r="E16" s="1">
        <f t="array" ref="E16">_xlfn.XLOOKUP($D16,lookup!$A:$A,lookup!$B:$B)</f>
        <v/>
      </c>
      <c r="F16" s="1" t="n"/>
      <c r="H16" s="5">
        <f>IF($E16="","",IF(OR($E16=8,$E16=14,$E16=15,$E16=23,$E17=1,$E18=1),"Fast day",""))</f>
        <v/>
      </c>
      <c r="I16" s="5">
        <f>IFERROR(INDEX(lookup!$E:$E,MATCH($C16,lookup!$D:$D,0)),"")</f>
        <v/>
      </c>
      <c r="J16" s="5">
        <f>IF($I16="","",IF(OR($I16=1,$I16=5,$I16=9),IF($K16="","Long fast month","Long fast month (LEAP)"),""))</f>
        <v/>
      </c>
      <c r="K16" s="0">
        <f>IFERROR(IF(INDEX(lookup!$G:$G,MATCH($C16,lookup!$D:$D,0))="LEAP","LEAP MONTH - counts as month "&amp;$I16&amp;", flagged for review",""),"")</f>
        <v/>
      </c>
    </row>
    <row r="17" ht="15.75" customHeight="1" s="10">
      <c r="A17" s="6">
        <f>A16+1</f>
        <v/>
      </c>
      <c r="B17" s="1">
        <f>TEXT(A17,"ddd")</f>
        <v/>
      </c>
      <c r="C17" s="1" t="inlineStr">
        <is>
          <t>七月</t>
        </is>
      </c>
      <c r="D17" s="1" t="inlineStr">
        <is>
          <t>十五</t>
        </is>
      </c>
      <c r="E17" s="1">
        <f t="array" ref="E17">_xlfn.XLOOKUP($D17,lookup!$A:$A,lookup!$B:$B)</f>
        <v/>
      </c>
      <c r="F17" s="1" t="inlineStr">
        <is>
          <t>Full</t>
        </is>
      </c>
      <c r="G17" s="3" t="inlineStr">
        <is>
          <t>Ullambana (actual day)</t>
        </is>
      </c>
      <c r="H17" s="5">
        <f>IF($E17="","",IF(OR($E17=8,$E17=14,$E17=15,$E17=23,$E18=1,$E19=1),"Fast day",""))</f>
        <v/>
      </c>
      <c r="I17" s="5">
        <f>IFERROR(INDEX(lookup!$E:$E,MATCH($C17,lookup!$D:$D,0)),"")</f>
        <v/>
      </c>
      <c r="J17" s="5">
        <f>IF($I17="","",IF(OR($I17=1,$I17=5,$I17=9),IF($K17="","Long fast month","Long fast month (LEAP)"),""))</f>
        <v/>
      </c>
      <c r="K17" s="0">
        <f>IFERROR(IF(INDEX(lookup!$G:$G,MATCH($C17,lookup!$D:$D,0))="LEAP","LEAP MONTH - counts as month "&amp;$I17&amp;", flagged for review",""),"")</f>
        <v/>
      </c>
    </row>
    <row r="18" ht="15.75" customHeight="1" s="10">
      <c r="A18" s="6">
        <f>A17+1</f>
        <v/>
      </c>
      <c r="B18" s="1">
        <f>TEXT(A18,"ddd")</f>
        <v/>
      </c>
      <c r="C18" s="1">
        <f>IF($E18=1,"?",C17)</f>
        <v/>
      </c>
      <c r="D18" s="1" t="inlineStr">
        <is>
          <t>十六</t>
        </is>
      </c>
      <c r="E18" s="1">
        <f t="array" ref="E18">_xlfn.XLOOKUP($D18,lookup!$A:$A,lookup!$B:$B)</f>
        <v/>
      </c>
      <c r="F18" s="1" t="n"/>
      <c r="H18" s="5">
        <f>IF($E18="","",IF(OR($E18=8,$E18=14,$E18=15,$E18=23,$E19=1,$E20=1),"Fast day",""))</f>
        <v/>
      </c>
      <c r="I18" s="5">
        <f>IFERROR(INDEX(lookup!$E:$E,MATCH($C18,lookup!$D:$D,0)),"")</f>
        <v/>
      </c>
      <c r="J18" s="5">
        <f>IF($I18="","",IF(OR($I18=1,$I18=5,$I18=9),IF($K18="","Long fast month","Long fast month (LEAP)"),""))</f>
        <v/>
      </c>
      <c r="K18" s="0">
        <f>IFERROR(IF(INDEX(lookup!$G:$G,MATCH($C18,lookup!$D:$D,0))="LEAP","LEAP MONTH - counts as month "&amp;$I18&amp;", flagged for review",""),"")</f>
        <v/>
      </c>
    </row>
    <row r="19" ht="15.75" customHeight="1" s="10">
      <c r="A19" s="6">
        <f>A18+1</f>
        <v/>
      </c>
      <c r="B19" s="1">
        <f>TEXT(A19,"ddd")</f>
        <v/>
      </c>
      <c r="C19" s="1">
        <f>IF($E19=1,"?",C18)</f>
        <v/>
      </c>
      <c r="D19" s="1" t="inlineStr">
        <is>
          <t>十七</t>
        </is>
      </c>
      <c r="E19" s="1">
        <f t="array" ref="E19">_xlfn.XLOOKUP($D19,lookup!$A:$A,lookup!$B:$B)</f>
        <v/>
      </c>
      <c r="F19" s="1" t="n"/>
      <c r="H19" s="5">
        <f>IF($E19="","",IF(OR($E19=8,$E19=14,$E19=15,$E19=23,$E20=1,$E21=1),"Fast day",""))</f>
        <v/>
      </c>
      <c r="I19" s="5">
        <f>IFERROR(INDEX(lookup!$E:$E,MATCH($C19,lookup!$D:$D,0)),"")</f>
        <v/>
      </c>
      <c r="J19" s="5">
        <f>IF($I19="","",IF(OR($I19=1,$I19=5,$I19=9),IF($K19="","Long fast month","Long fast month (LEAP)"),""))</f>
        <v/>
      </c>
      <c r="K19" s="0">
        <f>IFERROR(IF(INDEX(lookup!$G:$G,MATCH($C19,lookup!$D:$D,0))="LEAP","LEAP MONTH - counts as month "&amp;$I19&amp;", flagged for review",""),"")</f>
        <v/>
      </c>
    </row>
    <row r="20" ht="15.75" customHeight="1" s="10">
      <c r="A20" s="6">
        <f>A19+1</f>
        <v/>
      </c>
      <c r="B20" s="1">
        <f>TEXT(A20,"ddd")</f>
        <v/>
      </c>
      <c r="C20" s="1">
        <f>IF($E20=1,"?",C19)</f>
        <v/>
      </c>
      <c r="D20" s="1" t="inlineStr">
        <is>
          <t>十八</t>
        </is>
      </c>
      <c r="E20" s="1">
        <f t="array" ref="E20">_xlfn.XLOOKUP($D20,lookup!$A:$A,lookup!$B:$B)</f>
        <v/>
      </c>
      <c r="F20" s="1" t="n"/>
      <c r="H20" s="5">
        <f>IF($E20="","",IF(OR($E20=8,$E20=14,$E20=15,$E20=23,$E21=1,$E22=1),"Fast day",""))</f>
        <v/>
      </c>
      <c r="I20" s="5">
        <f>IFERROR(INDEX(lookup!$E:$E,MATCH($C20,lookup!$D:$D,0)),"")</f>
        <v/>
      </c>
      <c r="J20" s="5">
        <f>IF($I20="","",IF(OR($I20=1,$I20=5,$I20=9),IF($K20="","Long fast month","Long fast month (LEAP)"),""))</f>
        <v/>
      </c>
      <c r="K20" s="0">
        <f>IFERROR(IF(INDEX(lookup!$G:$G,MATCH($C20,lookup!$D:$D,0))="LEAP","LEAP MONTH - counts as month "&amp;$I20&amp;", flagged for review",""),"")</f>
        <v/>
      </c>
    </row>
    <row r="21" ht="15.75" customHeight="1" s="10">
      <c r="A21" s="6">
        <f>A20+1</f>
        <v/>
      </c>
      <c r="B21" s="1">
        <f>TEXT(A21,"ddd")</f>
        <v/>
      </c>
      <c r="C21" s="1">
        <f>IF($E21=1,"?",C20)</f>
        <v/>
      </c>
      <c r="D21" s="1" t="inlineStr">
        <is>
          <t>十九</t>
        </is>
      </c>
      <c r="E21" s="1">
        <f t="array" ref="E21">_xlfn.XLOOKUP($D21,lookup!$A:$A,lookup!$B:$B)</f>
        <v/>
      </c>
      <c r="F21" s="1" t="n"/>
      <c r="H21" s="5">
        <f>IF($E21="","",IF(OR($E21=8,$E21=14,$E21=15,$E21=23,$E22=1,$E23=1),"Fast day",""))</f>
        <v/>
      </c>
      <c r="I21" s="5">
        <f>IFERROR(INDEX(lookup!$E:$E,MATCH($C21,lookup!$D:$D,0)),"")</f>
        <v/>
      </c>
      <c r="J21" s="5">
        <f>IF($I21="","",IF(OR($I21=1,$I21=5,$I21=9),IF($K21="","Long fast month","Long fast month (LEAP)"),""))</f>
        <v/>
      </c>
      <c r="K21" s="0">
        <f>IFERROR(IF(INDEX(lookup!$G:$G,MATCH($C21,lookup!$D:$D,0))="LEAP","LEAP MONTH - counts as month "&amp;$I21&amp;", flagged for review",""),"")</f>
        <v/>
      </c>
    </row>
    <row r="22" ht="15.75" customHeight="1" s="10">
      <c r="A22" s="6">
        <f>A21+1</f>
        <v/>
      </c>
      <c r="B22" s="1">
        <f>TEXT(A22,"ddd")</f>
        <v/>
      </c>
      <c r="C22" s="1">
        <f>IF($E22=1,"?",C21)</f>
        <v/>
      </c>
      <c r="D22" s="1" t="inlineStr">
        <is>
          <t>二十</t>
        </is>
      </c>
      <c r="E22" s="1">
        <f t="array" ref="E22">_xlfn.XLOOKUP($D22,lookup!$A:$A,lookup!$B:$B)</f>
        <v/>
      </c>
      <c r="F22" s="1" t="n"/>
      <c r="H22" s="5">
        <f>IF($E22="","",IF(OR($E22=8,$E22=14,$E22=15,$E22=23,$E23=1,$E24=1),"Fast day",""))</f>
        <v/>
      </c>
      <c r="I22" s="5">
        <f>IFERROR(INDEX(lookup!$E:$E,MATCH($C22,lookup!$D:$D,0)),"")</f>
        <v/>
      </c>
      <c r="J22" s="5">
        <f>IF($I22="","",IF(OR($I22=1,$I22=5,$I22=9),IF($K22="","Long fast month","Long fast month (LEAP)"),""))</f>
        <v/>
      </c>
      <c r="K22" s="0">
        <f>IFERROR(IF(INDEX(lookup!$G:$G,MATCH($C22,lookup!$D:$D,0))="LEAP","LEAP MONTH - counts as month "&amp;$I22&amp;", flagged for review",""),"")</f>
        <v/>
      </c>
    </row>
    <row r="23" ht="15.75" customHeight="1" s="10">
      <c r="A23" s="6">
        <f>A22+1</f>
        <v/>
      </c>
      <c r="B23" s="1">
        <f>TEXT(A23,"ddd")</f>
        <v/>
      </c>
      <c r="C23" s="1">
        <f>IF($E23=1,"?",C22)</f>
        <v/>
      </c>
      <c r="D23" s="1" t="inlineStr">
        <is>
          <t>廿一</t>
        </is>
      </c>
      <c r="E23" s="1">
        <f t="array" ref="E23">_xlfn.XLOOKUP($D23,lookup!$A:$A,lookup!$B:$B)</f>
        <v/>
      </c>
      <c r="F23" s="1" t="n"/>
      <c r="G23" s="3" t="inlineStr">
        <is>
          <t>Patriarch Pu An’s Birthday</t>
        </is>
      </c>
      <c r="H23" s="5">
        <f>IF($E23="","",IF(OR($E23=8,$E23=14,$E23=15,$E23=23,$E24=1,$E25=1),"Fast day",""))</f>
        <v/>
      </c>
      <c r="I23" s="5">
        <f>IFERROR(INDEX(lookup!$E:$E,MATCH($C23,lookup!$D:$D,0)),"")</f>
        <v/>
      </c>
      <c r="J23" s="5">
        <f>IF($I23="","",IF(OR($I23=1,$I23=5,$I23=9),IF($K23="","Long fast month","Long fast month (LEAP)"),""))</f>
        <v/>
      </c>
      <c r="K23" s="0">
        <f>IFERROR(IF(INDEX(lookup!$G:$G,MATCH($C23,lookup!$D:$D,0))="LEAP","LEAP MONTH - counts as month "&amp;$I23&amp;", flagged for review",""),"")</f>
        <v/>
      </c>
    </row>
    <row r="24" ht="15.75" customHeight="1" s="10">
      <c r="A24" s="6">
        <f>A23+1</f>
        <v/>
      </c>
      <c r="B24" s="1">
        <f>TEXT(A24,"ddd")</f>
        <v/>
      </c>
      <c r="C24" s="1">
        <f>IF($E24=1,"?",C23)</f>
        <v/>
      </c>
      <c r="D24" s="1" t="inlineStr">
        <is>
          <t>廿二</t>
        </is>
      </c>
      <c r="E24" s="1">
        <f t="array" ref="E24">_xlfn.XLOOKUP($D24,lookup!$A:$A,lookup!$B:$B)</f>
        <v/>
      </c>
      <c r="F24" s="1" t="n"/>
      <c r="H24" s="5">
        <f>IF($E24="","",IF(OR($E24=8,$E24=14,$E24=15,$E24=23,$E25=1,$E26=1),"Fast day",""))</f>
        <v/>
      </c>
      <c r="I24" s="5">
        <f>IFERROR(INDEX(lookup!$E:$E,MATCH($C24,lookup!$D:$D,0)),"")</f>
        <v/>
      </c>
      <c r="J24" s="5">
        <f>IF($I24="","",IF(OR($I24=1,$I24=5,$I24=9),IF($K24="","Long fast month","Long fast month (LEAP)"),""))</f>
        <v/>
      </c>
      <c r="K24" s="0">
        <f>IFERROR(IF(INDEX(lookup!$G:$G,MATCH($C24,lookup!$D:$D,0))="LEAP","LEAP MONTH - counts as month "&amp;$I24&amp;", flagged for review",""),"")</f>
        <v/>
      </c>
    </row>
    <row r="25" ht="15.75" customHeight="1" s="10">
      <c r="A25" s="6">
        <f>A24+1</f>
        <v/>
      </c>
      <c r="B25" s="1">
        <f>TEXT(A25,"ddd")</f>
        <v/>
      </c>
      <c r="C25" s="1">
        <f>IF($E25=1,"?",C24)</f>
        <v/>
      </c>
      <c r="D25" s="1" t="inlineStr">
        <is>
          <t>廿三</t>
        </is>
      </c>
      <c r="E25" s="1">
        <f t="array" ref="E25">_xlfn.XLOOKUP($D25,lookup!$A:$A,lookup!$B:$B)</f>
        <v/>
      </c>
      <c r="F25" s="1" t="n"/>
      <c r="H25" s="5">
        <f>IF($E25="","",IF(OR($E25=8,$E25=14,$E25=15,$E25=23,$E26=1,$E27=1),"Fast day",""))</f>
        <v/>
      </c>
      <c r="I25" s="5">
        <f>IFERROR(INDEX(lookup!$E:$E,MATCH($C25,lookup!$D:$D,0)),"")</f>
        <v/>
      </c>
      <c r="J25" s="5">
        <f>IF($I25="","",IF(OR($I25=1,$I25=5,$I25=9),IF($K25="","Long fast month","Long fast month (LEAP)"),""))</f>
        <v/>
      </c>
      <c r="K25" s="0">
        <f>IFERROR(IF(INDEX(lookup!$G:$G,MATCH($C25,lookup!$D:$D,0))="LEAP","LEAP MONTH - counts as month "&amp;$I25&amp;", flagged for review",""),"")</f>
        <v/>
      </c>
    </row>
    <row r="26" ht="15.75" customHeight="1" s="10">
      <c r="A26" s="6">
        <f>A25+1</f>
        <v/>
      </c>
      <c r="B26" s="1">
        <f>TEXT(A26,"ddd")</f>
        <v/>
      </c>
      <c r="C26" s="1">
        <f>IF($E26=1,"?",C25)</f>
        <v/>
      </c>
      <c r="D26" s="1" t="inlineStr">
        <is>
          <t>廿四</t>
        </is>
      </c>
      <c r="E26" s="1">
        <f t="array" ref="E26">_xlfn.XLOOKUP($D26,lookup!$A:$A,lookup!$B:$B)</f>
        <v/>
      </c>
      <c r="F26" s="1" t="n"/>
      <c r="G26" s="3" t="inlineStr">
        <is>
          <t>Nagarjuna Bodhisattva’s Birthday</t>
        </is>
      </c>
      <c r="H26" s="5">
        <f>IF($E26="","",IF(OR($E26=8,$E26=14,$E26=15,$E26=23,$E27=1,$E28=1),"Fast day",""))</f>
        <v/>
      </c>
      <c r="I26" s="5">
        <f>IFERROR(INDEX(lookup!$E:$E,MATCH($C26,lookup!$D:$D,0)),"")</f>
        <v/>
      </c>
      <c r="J26" s="5">
        <f>IF($I26="","",IF(OR($I26=1,$I26=5,$I26=9),IF($K26="","Long fast month","Long fast month (LEAP)"),""))</f>
        <v/>
      </c>
      <c r="K26" s="0">
        <f>IFERROR(IF(INDEX(lookup!$G:$G,MATCH($C26,lookup!$D:$D,0))="LEAP","LEAP MONTH - counts as month "&amp;$I26&amp;", flagged for review",""),"")</f>
        <v/>
      </c>
    </row>
    <row r="27" ht="15.75" customHeight="1" s="10">
      <c r="A27" s="6">
        <f>A26+1</f>
        <v/>
      </c>
      <c r="B27" s="1">
        <f>TEXT(A27,"ddd")</f>
        <v/>
      </c>
      <c r="C27" s="1">
        <f>IF($E27=1,"?",C26)</f>
        <v/>
      </c>
      <c r="D27" s="1" t="inlineStr">
        <is>
          <t>廿五</t>
        </is>
      </c>
      <c r="E27" s="1">
        <f t="array" ref="E27">_xlfn.XLOOKUP($D27,lookup!$A:$A,lookup!$B:$B)</f>
        <v/>
      </c>
      <c r="F27" s="1" t="n"/>
      <c r="G27" s="3" t="inlineStr">
        <is>
          <t>Celebration of Earth Store Bodhisattva’s Birthday (Observed)</t>
        </is>
      </c>
      <c r="H27" s="5">
        <f>IF($E27="","",IF(OR($E27=8,$E27=14,$E27=15,$E27=23,$E28=1,$E29=1),"Fast day",""))</f>
        <v/>
      </c>
      <c r="I27" s="5">
        <f>IFERROR(INDEX(lookup!$E:$E,MATCH($C27,lookup!$D:$D,0)),"")</f>
        <v/>
      </c>
      <c r="J27" s="5">
        <f>IF($I27="","",IF(OR($I27=1,$I27=5,$I27=9),IF($K27="","Long fast month","Long fast month (LEAP)"),""))</f>
        <v/>
      </c>
      <c r="K27" s="0">
        <f>IFERROR(IF(INDEX(lookup!$G:$G,MATCH($C27,lookup!$D:$D,0))="LEAP","LEAP MONTH - counts as month "&amp;$I27&amp;", flagged for review",""),"")</f>
        <v/>
      </c>
    </row>
    <row r="28" ht="15.75" customHeight="1" s="10">
      <c r="A28" s="6">
        <f>A27+1</f>
        <v/>
      </c>
      <c r="B28" s="1">
        <f>TEXT(A28,"ddd")</f>
        <v/>
      </c>
      <c r="C28" s="1">
        <f>IF($E28=1,"?",C27)</f>
        <v/>
      </c>
      <c r="D28" s="1" t="inlineStr">
        <is>
          <t>廿六</t>
        </is>
      </c>
      <c r="E28" s="1">
        <f t="array" ref="E28">_xlfn.XLOOKUP($D28,lookup!$A:$A,lookup!$B:$B)</f>
        <v/>
      </c>
      <c r="F28" s="1" t="n"/>
      <c r="G28" s="3" t="inlineStr">
        <is>
          <t>Labor Day (no school)</t>
        </is>
      </c>
      <c r="H28" s="5">
        <f>IF($E28="","",IF(OR($E28=8,$E28=14,$E28=15,$E28=23,$E29=1,$E30=1),"Fast day",""))</f>
        <v/>
      </c>
      <c r="I28" s="5">
        <f>IFERROR(INDEX(lookup!$E:$E,MATCH($C28,lookup!$D:$D,0)),"")</f>
        <v/>
      </c>
      <c r="J28" s="5">
        <f>IF($I28="","",IF(OR($I28=1,$I28=5,$I28=9),IF($K28="","Long fast month","Long fast month (LEAP)"),""))</f>
        <v/>
      </c>
      <c r="K28" s="0">
        <f>IFERROR(IF(INDEX(lookup!$G:$G,MATCH($C28,lookup!$D:$D,0))="LEAP","LEAP MONTH - counts as month "&amp;$I28&amp;", flagged for review",""),"")</f>
        <v/>
      </c>
    </row>
    <row r="29" ht="15.75" customHeight="1" s="10">
      <c r="A29" s="6">
        <f>A28+1</f>
        <v/>
      </c>
      <c r="B29" s="1">
        <f>TEXT(A29,"ddd")</f>
        <v/>
      </c>
      <c r="C29" s="1">
        <f>IF($E29=1,"?",C28)</f>
        <v/>
      </c>
      <c r="D29" s="1" t="inlineStr">
        <is>
          <t>廿七</t>
        </is>
      </c>
      <c r="E29" s="1">
        <f t="array" ref="E29">_xlfn.XLOOKUP($D29,lookup!$A:$A,lookup!$B:$B)</f>
        <v/>
      </c>
      <c r="F29" s="1" t="n"/>
      <c r="H29" s="5">
        <f>IF($E29="","",IF(OR($E29=8,$E29=14,$E29=15,$E29=23,$E30=1,$E31=1),"Fast day",""))</f>
        <v/>
      </c>
      <c r="I29" s="5">
        <f>IFERROR(INDEX(lookup!$E:$E,MATCH($C29,lookup!$D:$D,0)),"")</f>
        <v/>
      </c>
      <c r="J29" s="5">
        <f>IF($I29="","",IF(OR($I29=1,$I29=5,$I29=9),IF($K29="","Long fast month","Long fast month (LEAP)"),""))</f>
        <v/>
      </c>
      <c r="K29" s="0">
        <f>IFERROR(IF(INDEX(lookup!$G:$G,MATCH($C29,lookup!$D:$D,0))="LEAP","LEAP MONTH - counts as month "&amp;$I29&amp;", flagged for review",""),"")</f>
        <v/>
      </c>
    </row>
    <row r="30" ht="15.75" customHeight="1" s="10">
      <c r="A30" s="6">
        <f>A29+1</f>
        <v/>
      </c>
      <c r="B30" s="1">
        <f>TEXT(A30,"ddd")</f>
        <v/>
      </c>
      <c r="C30" s="1">
        <f>IF($E30=1,"?",C29)</f>
        <v/>
      </c>
      <c r="D30" s="1" t="inlineStr">
        <is>
          <t>廿八</t>
        </is>
      </c>
      <c r="E30" s="1">
        <f t="array" ref="E30">_xlfn.XLOOKUP($D30,lookup!$A:$A,lookup!$B:$B)</f>
        <v/>
      </c>
      <c r="F30" s="1" t="n"/>
      <c r="H30" s="5">
        <f>IF($E30="","",IF(OR($E30=8,$E30=14,$E30=15,$E30=23,$E31=1,$E32=1),"Fast day",""))</f>
        <v/>
      </c>
      <c r="I30" s="5">
        <f>IFERROR(INDEX(lookup!$E:$E,MATCH($C30,lookup!$D:$D,0)),"")</f>
        <v/>
      </c>
      <c r="J30" s="5">
        <f>IF($I30="","",IF(OR($I30=1,$I30=5,$I30=9),IF($K30="","Long fast month","Long fast month (LEAP)"),""))</f>
        <v/>
      </c>
      <c r="K30" s="0">
        <f>IFERROR(IF(INDEX(lookup!$G:$G,MATCH($C30,lookup!$D:$D,0))="LEAP","LEAP MONTH - counts as month "&amp;$I30&amp;", flagged for review",""),"")</f>
        <v/>
      </c>
    </row>
    <row r="31" ht="15.75" customHeight="1" s="10">
      <c r="A31" s="6">
        <f>A30+1</f>
        <v/>
      </c>
      <c r="B31" s="1">
        <f>TEXT(A31,"ddd")</f>
        <v/>
      </c>
      <c r="C31" s="1">
        <f>IF($E31=1,"?",C30)</f>
        <v/>
      </c>
      <c r="D31" s="1" t="inlineStr">
        <is>
          <t>廿九</t>
        </is>
      </c>
      <c r="E31" s="1">
        <f t="array" ref="E31">_xlfn.XLOOKUP($D31,lookup!$A:$A,lookup!$B:$B)</f>
        <v/>
      </c>
      <c r="F31" s="1" t="n"/>
      <c r="G31" s="3" t="inlineStr">
        <is>
          <t>Earth Store Bodhisattva’s Birthday ( actual day ) | Venerable Master Hsu Yun’s Birthday</t>
        </is>
      </c>
      <c r="H31" s="5">
        <f>IF($E31="","",IF(OR($E31=8,$E31=14,$E31=15,$E31=23,$E32=1,$E33=1),"Fast day",""))</f>
        <v/>
      </c>
      <c r="I31" s="5">
        <f>IFERROR(INDEX(lookup!$E:$E,MATCH($C31,lookup!$D:$D,0)),"")</f>
        <v/>
      </c>
      <c r="J31" s="5">
        <f>IF($I31="","",IF(OR($I31=1,$I31=5,$I31=9),IF($K31="","Long fast month","Long fast month (LEAP)"),""))</f>
        <v/>
      </c>
      <c r="K31" s="0">
        <f>IFERROR(IF(INDEX(lookup!$G:$G,MATCH($C31,lookup!$D:$D,0))="LEAP","LEAP MONTH - counts as month "&amp;$I31&amp;", flagged for review",""),"")</f>
        <v/>
      </c>
    </row>
    <row r="32" ht="15.75" customHeight="1" s="10">
      <c r="A32" s="6">
        <f>A31+1</f>
        <v/>
      </c>
      <c r="B32" s="1">
        <f>TEXT(A32,"ddd")</f>
        <v/>
      </c>
      <c r="C32" s="1" t="inlineStr">
        <is>
          <t>八月</t>
        </is>
      </c>
      <c r="D32" s="1" t="inlineStr">
        <is>
          <t>初一</t>
        </is>
      </c>
      <c r="E32" s="1">
        <f t="array" ref="E32">_xlfn.XLOOKUP($D32,lookup!$A:$A,lookup!$B:$B)</f>
        <v/>
      </c>
      <c r="F32" s="1" t="inlineStr">
        <is>
          <t>New</t>
        </is>
      </c>
      <c r="H32" s="5">
        <f>IF($E32="","",IF(OR($E32=8,$E32=14,$E32=15,$E32=23,$E33=1,$E34=1),"Fast day",""))</f>
        <v/>
      </c>
      <c r="I32" s="5">
        <f>IFERROR(INDEX(lookup!$E:$E,MATCH($C32,lookup!$D:$D,0)),"")</f>
        <v/>
      </c>
      <c r="J32" s="5">
        <f>IF($I32="","",IF(OR($I32=1,$I32=5,$I32=9),IF($K32="","Long fast month","Long fast month (LEAP)"),""))</f>
        <v/>
      </c>
      <c r="K32" s="0">
        <f>IFERROR(IF(INDEX(lookup!$G:$G,MATCH($C32,lookup!$D:$D,0))="LEAP","LEAP MONTH - counts as month "&amp;$I32&amp;", flagged for review",""),"")</f>
        <v/>
      </c>
    </row>
    <row r="33" ht="15.75" customHeight="1" s="10">
      <c r="A33" s="6">
        <f>A32+1</f>
        <v/>
      </c>
      <c r="B33" s="1">
        <f>TEXT(A33,"ddd")</f>
        <v/>
      </c>
      <c r="C33" s="1">
        <f>IF($E33=1,"?",C32)</f>
        <v/>
      </c>
      <c r="D33" s="1" t="inlineStr">
        <is>
          <t>初二</t>
        </is>
      </c>
      <c r="E33" s="1">
        <f t="array" ref="E33">_xlfn.XLOOKUP($D33,lookup!$A:$A,lookup!$B:$B)</f>
        <v/>
      </c>
      <c r="F33" s="1" t="n"/>
      <c r="H33" s="5">
        <f>IF($E33="","",IF(OR($E33=8,$E33=14,$E33=15,$E33=23,$E34=1,$E35=1),"Fast day",""))</f>
        <v/>
      </c>
      <c r="I33" s="5">
        <f>IFERROR(INDEX(lookup!$E:$E,MATCH($C33,lookup!$D:$D,0)),"")</f>
        <v/>
      </c>
      <c r="J33" s="5">
        <f>IF($I33="","",IF(OR($I33=1,$I33=5,$I33=9),IF($K33="","Long fast month","Long fast month (LEAP)"),""))</f>
        <v/>
      </c>
      <c r="K33" s="0">
        <f>IFERROR(IF(INDEX(lookup!$G:$G,MATCH($C33,lookup!$D:$D,0))="LEAP","LEAP MONTH - counts as month "&amp;$I33&amp;", flagged for review",""),"")</f>
        <v/>
      </c>
    </row>
    <row r="34" ht="15.75" customHeight="1" s="10">
      <c r="A34" s="6">
        <f>A33+1</f>
        <v/>
      </c>
      <c r="B34" s="1">
        <f>TEXT(A34,"ddd")</f>
        <v/>
      </c>
      <c r="C34" s="1">
        <f>IF($E34=1,"?",C33)</f>
        <v/>
      </c>
      <c r="D34" s="1" t="inlineStr">
        <is>
          <t>初三</t>
        </is>
      </c>
      <c r="E34" s="1">
        <f t="array" ref="E34">_xlfn.XLOOKUP($D34,lookup!$A:$A,lookup!$B:$B)</f>
        <v/>
      </c>
      <c r="F34" s="1" t="n"/>
      <c r="G34" s="3" t="inlineStr">
        <is>
          <t>Venerable Sixth Patriarch’s Nirvana Day</t>
        </is>
      </c>
      <c r="H34" s="5">
        <f>IF($E34="","",IF(OR($E34=8,$E34=14,$E34=15,$E34=23,$E35=1,$E36=1),"Fast day",""))</f>
        <v/>
      </c>
      <c r="I34" s="5">
        <f>IFERROR(INDEX(lookup!$E:$E,MATCH($C34,lookup!$D:$D,0)),"")</f>
        <v/>
      </c>
      <c r="J34" s="5">
        <f>IF($I34="","",IF(OR($I34=1,$I34=5,$I34=9),IF($K34="","Long fast month","Long fast month (LEAP)"),""))</f>
        <v/>
      </c>
      <c r="K34" s="0">
        <f>IFERROR(IF(INDEX(lookup!$G:$G,MATCH($C34,lookup!$D:$D,0))="LEAP","LEAP MONTH - counts as month "&amp;$I34&amp;", flagged for review",""),"")</f>
        <v/>
      </c>
    </row>
    <row r="35" ht="15.75" customHeight="1" s="10">
      <c r="A35" s="6">
        <f>A34+1</f>
        <v/>
      </c>
      <c r="B35" s="1">
        <f>TEXT(A35,"ddd")</f>
        <v/>
      </c>
      <c r="C35" s="1">
        <f>IF($E35=1,"?",C34)</f>
        <v/>
      </c>
      <c r="D35" s="1" t="inlineStr">
        <is>
          <t>初四</t>
        </is>
      </c>
      <c r="E35" s="1">
        <f t="array" ref="E35">_xlfn.XLOOKUP($D35,lookup!$A:$A,lookup!$B:$B)</f>
        <v/>
      </c>
      <c r="F35" s="1" t="n"/>
      <c r="H35" s="5">
        <f>IF($E35="","",IF(OR($E35=8,$E35=14,$E35=15,$E35=23,$E36=1,$E37=1),"Fast day",""))</f>
        <v/>
      </c>
      <c r="I35" s="5">
        <f>IFERROR(INDEX(lookup!$E:$E,MATCH($C35,lookup!$D:$D,0)),"")</f>
        <v/>
      </c>
      <c r="J35" s="5">
        <f>IF($I35="","",IF(OR($I35=1,$I35=5,$I35=9),IF($K35="","Long fast month","Long fast month (LEAP)"),""))</f>
        <v/>
      </c>
      <c r="K35" s="0">
        <f>IFERROR(IF(INDEX(lookup!$G:$G,MATCH($C35,lookup!$D:$D,0))="LEAP","LEAP MONTH - counts as month "&amp;$I35&amp;", flagged for review",""),"")</f>
        <v/>
      </c>
    </row>
    <row r="36" ht="15.75" customHeight="1" s="10">
      <c r="A36" s="6">
        <f>A35+1</f>
        <v/>
      </c>
      <c r="B36" s="1">
        <f>TEXT(A36,"ddd")</f>
        <v/>
      </c>
      <c r="C36" s="1">
        <f>IF($E36=1,"?",C35)</f>
        <v/>
      </c>
      <c r="D36" s="1" t="inlineStr">
        <is>
          <t>初五</t>
        </is>
      </c>
      <c r="E36" s="1">
        <f t="array" ref="E36">_xlfn.XLOOKUP($D36,lookup!$A:$A,lookup!$B:$B)</f>
        <v/>
      </c>
      <c r="F36" s="1" t="n"/>
      <c r="H36" s="5">
        <f>IF($E36="","",IF(OR($E36=8,$E36=14,$E36=15,$E36=23,$E37=1,$E38=1),"Fast day",""))</f>
        <v/>
      </c>
      <c r="I36" s="5">
        <f>IFERROR(INDEX(lookup!$E:$E,MATCH($C36,lookup!$D:$D,0)),"")</f>
        <v/>
      </c>
      <c r="J36" s="5">
        <f>IF($I36="","",IF(OR($I36=1,$I36=5,$I36=9),IF($K36="","Long fast month","Long fast month (LEAP)"),""))</f>
        <v/>
      </c>
      <c r="K36" s="0">
        <f>IFERROR(IF(INDEX(lookup!$G:$G,MATCH($C36,lookup!$D:$D,0))="LEAP","LEAP MONTH - counts as month "&amp;$I36&amp;", flagged for review",""),"")</f>
        <v/>
      </c>
    </row>
    <row r="37" ht="15.75" customHeight="1" s="10">
      <c r="A37" s="6">
        <f>A36+1</f>
        <v/>
      </c>
      <c r="B37" s="1">
        <f>TEXT(A37,"ddd")</f>
        <v/>
      </c>
      <c r="C37" s="1">
        <f>IF($E37=1,"?",C36)</f>
        <v/>
      </c>
      <c r="D37" s="1" t="inlineStr">
        <is>
          <t>初六</t>
        </is>
      </c>
      <c r="E37" s="1">
        <f t="array" ref="E37">_xlfn.XLOOKUP($D37,lookup!$A:$A,lookup!$B:$B)</f>
        <v/>
      </c>
      <c r="F37" s="1" t="n"/>
      <c r="H37" s="5">
        <f>IF($E37="","",IF(OR($E37=8,$E37=14,$E37=15,$E37=23,$E38=1,$E39=1),"Fast day",""))</f>
        <v/>
      </c>
      <c r="I37" s="5">
        <f>IFERROR(INDEX(lookup!$E:$E,MATCH($C37,lookup!$D:$D,0)),"")</f>
        <v/>
      </c>
      <c r="J37" s="5">
        <f>IF($I37="","",IF(OR($I37=1,$I37=5,$I37=9),IF($K37="","Long fast month","Long fast month (LEAP)"),""))</f>
        <v/>
      </c>
      <c r="K37" s="0">
        <f>IFERROR(IF(INDEX(lookup!$G:$G,MATCH($C37,lookup!$D:$D,0))="LEAP","LEAP MONTH - counts as month "&amp;$I37&amp;", flagged for review",""),"")</f>
        <v/>
      </c>
    </row>
    <row r="38" ht="15.75" customHeight="1" s="10">
      <c r="A38" s="6">
        <f>A37+1</f>
        <v/>
      </c>
      <c r="B38" s="1">
        <f>TEXT(A38,"ddd")</f>
        <v/>
      </c>
      <c r="C38" s="1">
        <f>IF($E38=1,"?",C37)</f>
        <v/>
      </c>
      <c r="D38" s="1" t="inlineStr">
        <is>
          <t>初七</t>
        </is>
      </c>
      <c r="E38" s="1">
        <f t="array" ref="E38">_xlfn.XLOOKUP($D38,lookup!$A:$A,lookup!$B:$B)</f>
        <v/>
      </c>
      <c r="F38" s="1" t="n"/>
      <c r="H38" s="5">
        <f>IF($E38="","",IF(OR($E38=8,$E38=14,$E38=15,$E38=23,$E39=1,$E40=1),"Fast day",""))</f>
        <v/>
      </c>
      <c r="I38" s="5">
        <f>IFERROR(INDEX(lookup!$E:$E,MATCH($C38,lookup!$D:$D,0)),"")</f>
        <v/>
      </c>
      <c r="J38" s="5">
        <f>IF($I38="","",IF(OR($I38=1,$I38=5,$I38=9),IF($K38="","Long fast month","Long fast month (LEAP)"),""))</f>
        <v/>
      </c>
      <c r="K38" s="0">
        <f>IFERROR(IF(INDEX(lookup!$G:$G,MATCH($C38,lookup!$D:$D,0))="LEAP","LEAP MONTH - counts as month "&amp;$I38&amp;", flagged for review",""),"")</f>
        <v/>
      </c>
    </row>
    <row r="39" ht="15.75" customHeight="1" s="10">
      <c r="A39" s="6">
        <f>A38+1</f>
        <v/>
      </c>
      <c r="B39" s="1">
        <f>TEXT(A39,"ddd")</f>
        <v/>
      </c>
      <c r="C39" s="1">
        <f>IF($E39=1,"?",C38)</f>
        <v/>
      </c>
      <c r="D39" s="1" t="inlineStr">
        <is>
          <t>初八</t>
        </is>
      </c>
      <c r="E39" s="1">
        <f t="array" ref="E39">_xlfn.XLOOKUP($D39,lookup!$A:$A,lookup!$B:$B)</f>
        <v/>
      </c>
      <c r="F39" s="1" t="n"/>
      <c r="H39" s="5">
        <f>IF($E39="","",IF(OR($E39=8,$E39=14,$E39=15,$E39=23,$E40=1,$E41=1),"Fast day",""))</f>
        <v/>
      </c>
      <c r="I39" s="5">
        <f>IFERROR(INDEX(lookup!$E:$E,MATCH($C39,lookup!$D:$D,0)),"")</f>
        <v/>
      </c>
      <c r="J39" s="5">
        <f>IF($I39="","",IF(OR($I39=1,$I39=5,$I39=9),IF($K39="","Long fast month","Long fast month (LEAP)"),""))</f>
        <v/>
      </c>
      <c r="K39" s="0">
        <f>IFERROR(IF(INDEX(lookup!$G:$G,MATCH($C39,lookup!$D:$D,0))="LEAP","LEAP MONTH - counts as month "&amp;$I39&amp;", flagged for review",""),"")</f>
        <v/>
      </c>
    </row>
    <row r="40" ht="15.75" customHeight="1" s="10">
      <c r="A40" s="6">
        <f>A39+1</f>
        <v/>
      </c>
      <c r="B40" s="1">
        <f>TEXT(A40,"ddd")</f>
        <v/>
      </c>
      <c r="C40" s="1">
        <f>IF($E40=1,"?",C39)</f>
        <v/>
      </c>
      <c r="D40" s="1" t="inlineStr">
        <is>
          <t>初九</t>
        </is>
      </c>
      <c r="E40" s="1">
        <f t="array" ref="E40">_xlfn.XLOOKUP($D40,lookup!$A:$A,lookup!$B:$B)</f>
        <v/>
      </c>
      <c r="F40" s="1" t="n"/>
      <c r="H40" s="5">
        <f>IF($E40="","",IF(OR($E40=8,$E40=14,$E40=15,$E40=23,$E41=1,$E42=1),"Fast day",""))</f>
        <v/>
      </c>
      <c r="I40" s="5">
        <f>IFERROR(INDEX(lookup!$E:$E,MATCH($C40,lookup!$D:$D,0)),"")</f>
        <v/>
      </c>
      <c r="J40" s="5">
        <f>IF($I40="","",IF(OR($I40=1,$I40=5,$I40=9),IF($K40="","Long fast month","Long fast month (LEAP)"),""))</f>
        <v/>
      </c>
      <c r="K40" s="0">
        <f>IFERROR(IF(INDEX(lookup!$G:$G,MATCH($C40,lookup!$D:$D,0))="LEAP","LEAP MONTH - counts as month "&amp;$I40&amp;", flagged for review",""),"")</f>
        <v/>
      </c>
    </row>
    <row r="41" ht="15.75" customHeight="1" s="10">
      <c r="A41" s="6">
        <f>A40+1</f>
        <v/>
      </c>
      <c r="B41" s="1">
        <f>TEXT(A41,"ddd")</f>
        <v/>
      </c>
      <c r="C41" s="1">
        <f>IF($E41=1,"?",C40)</f>
        <v/>
      </c>
      <c r="D41" s="1" t="inlineStr">
        <is>
          <t>初十</t>
        </is>
      </c>
      <c r="E41" s="1">
        <f t="array" ref="E41">_xlfn.XLOOKUP($D41,lookup!$A:$A,lookup!$B:$B)</f>
        <v/>
      </c>
      <c r="F41" s="1" t="n"/>
      <c r="G41" s="3" t="inlineStr">
        <is>
          <t>Monthly Memorial of Venerable Master Hua’s Entering Nirvana</t>
        </is>
      </c>
      <c r="H41" s="5">
        <f>IF($E41="","",IF(OR($E41=8,$E41=14,$E41=15,$E41=23,$E42=1,$E43=1),"Fast day",""))</f>
        <v/>
      </c>
      <c r="I41" s="5">
        <f>IFERROR(INDEX(lookup!$E:$E,MATCH($C41,lookup!$D:$D,0)),"")</f>
        <v/>
      </c>
      <c r="J41" s="5">
        <f>IF($I41="","",IF(OR($I41=1,$I41=5,$I41=9),IF($K41="","Long fast month","Long fast month (LEAP)"),""))</f>
        <v/>
      </c>
      <c r="K41" s="0">
        <f>IFERROR(IF(INDEX(lookup!$G:$G,MATCH($C41,lookup!$D:$D,0))="LEAP","LEAP MONTH - counts as month "&amp;$I41&amp;", flagged for review",""),"")</f>
        <v/>
      </c>
    </row>
    <row r="42" ht="15.75" customHeight="1" s="10">
      <c r="A42" s="6">
        <f>A41+1</f>
        <v/>
      </c>
      <c r="B42" s="1">
        <f>TEXT(A42,"ddd")</f>
        <v/>
      </c>
      <c r="C42" s="1">
        <f>IF($E42=1,"?",C41)</f>
        <v/>
      </c>
      <c r="D42" s="1" t="inlineStr">
        <is>
          <t>十一</t>
        </is>
      </c>
      <c r="E42" s="1">
        <f t="array" ref="E42">_xlfn.XLOOKUP($D42,lookup!$A:$A,lookup!$B:$B)</f>
        <v/>
      </c>
      <c r="F42" s="1" t="n"/>
      <c r="G42" s="3" t="inlineStr">
        <is>
          <t>United Nations International Day of Peace</t>
        </is>
      </c>
      <c r="H42" s="5">
        <f>IF($E42="","",IF(OR($E42=8,$E42=14,$E42=15,$E42=23,$E43=1,$E44=1),"Fast day",""))</f>
        <v/>
      </c>
      <c r="I42" s="5">
        <f>IFERROR(INDEX(lookup!$E:$E,MATCH($C42,lookup!$D:$D,0)),"")</f>
        <v/>
      </c>
      <c r="J42" s="5">
        <f>IF($I42="","",IF(OR($I42=1,$I42=5,$I42=9),IF($K42="","Long fast month","Long fast month (LEAP)"),""))</f>
        <v/>
      </c>
      <c r="K42" s="0">
        <f>IFERROR(IF(INDEX(lookup!$G:$G,MATCH($C42,lookup!$D:$D,0))="LEAP","LEAP MONTH - counts as month "&amp;$I42&amp;", flagged for review",""),"")</f>
        <v/>
      </c>
    </row>
    <row r="43" ht="15.75" customHeight="1" s="10">
      <c r="A43" s="6">
        <f>A42+1</f>
        <v/>
      </c>
      <c r="B43" s="1">
        <f>TEXT(A43,"ddd")</f>
        <v/>
      </c>
      <c r="C43" s="1">
        <f>IF($E43=1,"?",C42)</f>
        <v/>
      </c>
      <c r="D43" s="1" t="inlineStr">
        <is>
          <t>十二</t>
        </is>
      </c>
      <c r="E43" s="1">
        <f t="array" ref="E43">_xlfn.XLOOKUP($D43,lookup!$A:$A,lookup!$B:$B)</f>
        <v/>
      </c>
      <c r="F43" s="1" t="n"/>
      <c r="H43" s="5">
        <f>IF($E43="","",IF(OR($E43=8,$E43=14,$E43=15,$E43=23,$E44=1,$E45=1),"Fast day",""))</f>
        <v/>
      </c>
      <c r="I43" s="5">
        <f>IFERROR(INDEX(lookup!$E:$E,MATCH($C43,lookup!$D:$D,0)),"")</f>
        <v/>
      </c>
      <c r="J43" s="5">
        <f>IF($I43="","",IF(OR($I43=1,$I43=5,$I43=9),IF($K43="","Long fast month","Long fast month (LEAP)"),""))</f>
        <v/>
      </c>
      <c r="K43" s="0">
        <f>IFERROR(IF(INDEX(lookup!$G:$G,MATCH($C43,lookup!$D:$D,0))="LEAP","LEAP MONTH - counts as month "&amp;$I43&amp;", flagged for review",""),"")</f>
        <v/>
      </c>
    </row>
    <row r="44" ht="15.75" customHeight="1" s="10">
      <c r="A44" s="6">
        <f>A43+1</f>
        <v/>
      </c>
      <c r="B44" s="1">
        <f>TEXT(A44,"ddd")</f>
        <v/>
      </c>
      <c r="C44" s="1">
        <f>IF($E44=1,"?",C43)</f>
        <v/>
      </c>
      <c r="D44" s="1" t="inlineStr">
        <is>
          <t>十三</t>
        </is>
      </c>
      <c r="E44" s="1">
        <f t="array" ref="E44">_xlfn.XLOOKUP($D44,lookup!$A:$A,lookup!$B:$B)</f>
        <v/>
      </c>
      <c r="F44" s="1" t="n"/>
      <c r="G44" s="3" t="inlineStr">
        <is>
          <t>Western / Chinese Autumnal Equinox</t>
        </is>
      </c>
      <c r="H44" s="5">
        <f>IF($E44="","",IF(OR($E44=8,$E44=14,$E44=15,$E44=23,$E45=1,$E46=1),"Fast day",""))</f>
        <v/>
      </c>
      <c r="I44" s="5">
        <f>IFERROR(INDEX(lookup!$E:$E,MATCH($C44,lookup!$D:$D,0)),"")</f>
        <v/>
      </c>
      <c r="J44" s="5">
        <f>IF($I44="","",IF(OR($I44=1,$I44=5,$I44=9),IF($K44="","Long fast month","Long fast month (LEAP)"),""))</f>
        <v/>
      </c>
      <c r="K44" s="0">
        <f>IFERROR(IF(INDEX(lookup!$G:$G,MATCH($C44,lookup!$D:$D,0))="LEAP","LEAP MONTH - counts as month "&amp;$I44&amp;", flagged for review",""),"")</f>
        <v/>
      </c>
    </row>
    <row r="45" ht="15.75" customHeight="1" s="10">
      <c r="A45" s="6">
        <f>A44+1</f>
        <v/>
      </c>
      <c r="B45" s="1">
        <f>TEXT(A45,"ddd")</f>
        <v/>
      </c>
      <c r="C45" s="1">
        <f>IF($E45=1,"?",C44)</f>
        <v/>
      </c>
      <c r="D45" s="1" t="inlineStr">
        <is>
          <t>十四</t>
        </is>
      </c>
      <c r="E45" s="1">
        <f t="array" ref="E45">_xlfn.XLOOKUP($D45,lookup!$A:$A,lookup!$B:$B)</f>
        <v/>
      </c>
      <c r="F45" s="1" t="n"/>
      <c r="H45" s="5">
        <f>IF($E45="","",IF(OR($E45=8,$E45=14,$E45=15,$E45=23,$E46=1,$E47=1),"Fast day",""))</f>
        <v/>
      </c>
      <c r="I45" s="5">
        <f>IFERROR(INDEX(lookup!$E:$E,MATCH($C45,lookup!$D:$D,0)),"")</f>
        <v/>
      </c>
      <c r="J45" s="5">
        <f>IF($I45="","",IF(OR($I45=1,$I45=5,$I45=9),IF($K45="","Long fast month","Long fast month (LEAP)"),""))</f>
        <v/>
      </c>
      <c r="K45" s="0">
        <f>IFERROR(IF(INDEX(lookup!$G:$G,MATCH($C45,lookup!$D:$D,0))="LEAP","LEAP MONTH - counts as month "&amp;$I45&amp;", flagged for review",""),"")</f>
        <v/>
      </c>
    </row>
    <row r="46" ht="15.75" customHeight="1" s="10">
      <c r="A46" s="6">
        <f>A45+1</f>
        <v/>
      </c>
      <c r="B46" s="1">
        <f>TEXT(A46,"ddd")</f>
        <v/>
      </c>
      <c r="C46" s="1" t="inlineStr">
        <is>
          <t>八月</t>
        </is>
      </c>
      <c r="D46" s="1" t="inlineStr">
        <is>
          <t>十五</t>
        </is>
      </c>
      <c r="E46" s="1">
        <f t="array" ref="E46">_xlfn.XLOOKUP($D46,lookup!$A:$A,lookup!$B:$B)</f>
        <v/>
      </c>
      <c r="F46" s="1" t="inlineStr">
        <is>
          <t>Full</t>
        </is>
      </c>
      <c r="G46" s="3" t="inlineStr">
        <is>
          <t>Mid-Autumn Moon Festival ( begins at sundown)</t>
        </is>
      </c>
      <c r="H46" s="5">
        <f>IF($E46="","",IF(OR($E46=8,$E46=14,$E46=15,$E46=23,$E47=1,$E48=1),"Fast day",""))</f>
        <v/>
      </c>
      <c r="I46" s="5">
        <f>IFERROR(INDEX(lookup!$E:$E,MATCH($C46,lookup!$D:$D,0)),"")</f>
        <v/>
      </c>
      <c r="J46" s="5">
        <f>IF($I46="","",IF(OR($I46=1,$I46=5,$I46=9),IF($K46="","Long fast month","Long fast month (LEAP)"),""))</f>
        <v/>
      </c>
      <c r="K46" s="0">
        <f>IFERROR(IF(INDEX(lookup!$G:$G,MATCH($C46,lookup!$D:$D,0))="LEAP","LEAP MONTH - counts as month "&amp;$I46&amp;", flagged for review",""),"")</f>
        <v/>
      </c>
    </row>
    <row r="47" ht="15.75" customHeight="1" s="10">
      <c r="A47" s="6">
        <f>A46+1</f>
        <v/>
      </c>
      <c r="B47" s="1">
        <f>TEXT(A47,"ddd")</f>
        <v/>
      </c>
      <c r="C47" s="1">
        <f>IF($E47=1,"?",C46)</f>
        <v/>
      </c>
      <c r="D47" s="1" t="inlineStr">
        <is>
          <t>十六</t>
        </is>
      </c>
      <c r="E47" s="1">
        <f t="array" ref="E47">_xlfn.XLOOKUP($D47,lookup!$A:$A,lookup!$B:$B)</f>
        <v/>
      </c>
      <c r="F47" s="1" t="n"/>
      <c r="H47" s="5">
        <f>IF($E47="","",IF(OR($E47=8,$E47=14,$E47=15,$E47=23,$E48=1,$E49=1),"Fast day",""))</f>
        <v/>
      </c>
      <c r="I47" s="5">
        <f>IFERROR(INDEX(lookup!$E:$E,MATCH($C47,lookup!$D:$D,0)),"")</f>
        <v/>
      </c>
      <c r="J47" s="5">
        <f>IF($I47="","",IF(OR($I47=1,$I47=5,$I47=9),IF($K47="","Long fast month","Long fast month (LEAP)"),""))</f>
        <v/>
      </c>
      <c r="K47" s="0">
        <f>IFERROR(IF(INDEX(lookup!$G:$G,MATCH($C47,lookup!$D:$D,0))="LEAP","LEAP MONTH - counts as month "&amp;$I47&amp;", flagged for review",""),"")</f>
        <v/>
      </c>
    </row>
    <row r="48" ht="15.75" customHeight="1" s="10">
      <c r="A48" s="6">
        <f>A47+1</f>
        <v/>
      </c>
      <c r="B48" s="1">
        <f>TEXT(A48,"ddd")</f>
        <v/>
      </c>
      <c r="C48" s="1">
        <f>IF($E48=1,"?",C47)</f>
        <v/>
      </c>
      <c r="D48" s="1" t="inlineStr">
        <is>
          <t>十七</t>
        </is>
      </c>
      <c r="E48" s="1">
        <f t="array" ref="E48">_xlfn.XLOOKUP($D48,lookup!$A:$A,lookup!$B:$B)</f>
        <v/>
      </c>
      <c r="F48" s="1" t="n"/>
      <c r="H48" s="5">
        <f>IF($E48="","",IF(OR($E48=8,$E48=14,$E48=15,$E48=23,$E49=1,$E50=1),"Fast day",""))</f>
        <v/>
      </c>
      <c r="I48" s="5">
        <f>IFERROR(INDEX(lookup!$E:$E,MATCH($C48,lookup!$D:$D,0)),"")</f>
        <v/>
      </c>
      <c r="J48" s="5">
        <f>IF($I48="","",IF(OR($I48=1,$I48=5,$I48=9),IF($K48="","Long fast month","Long fast month (LEAP)"),""))</f>
        <v/>
      </c>
      <c r="K48" s="0">
        <f>IFERROR(IF(INDEX(lookup!$G:$G,MATCH($C48,lookup!$D:$D,0))="LEAP","LEAP MONTH - counts as month "&amp;$I48&amp;", flagged for review",""),"")</f>
        <v/>
      </c>
    </row>
    <row r="49" ht="15.75" customHeight="1" s="10">
      <c r="A49" s="6">
        <f>A48+1</f>
        <v/>
      </c>
      <c r="B49" s="1">
        <f>TEXT(A49,"ddd")</f>
        <v/>
      </c>
      <c r="C49" s="1">
        <f>IF($E49=1,"?",C48)</f>
        <v/>
      </c>
      <c r="D49" s="1" t="inlineStr">
        <is>
          <t>十八</t>
        </is>
      </c>
      <c r="E49" s="1">
        <f t="array" ref="E49">_xlfn.XLOOKUP($D49,lookup!$A:$A,lookup!$B:$B)</f>
        <v/>
      </c>
      <c r="F49" s="1" t="n"/>
      <c r="G49" s="3" t="inlineStr">
        <is>
          <t>Confucius’ Birthday</t>
        </is>
      </c>
      <c r="H49" s="5">
        <f>IF($E49="","",IF(OR($E49=8,$E49=14,$E49=15,$E49=23,$E50=1,$E51=1),"Fast day",""))</f>
        <v/>
      </c>
      <c r="I49" s="5">
        <f>IFERROR(INDEX(lookup!$E:$E,MATCH($C49,lookup!$D:$D,0)),"")</f>
        <v/>
      </c>
      <c r="J49" s="5">
        <f>IF($I49="","",IF(OR($I49=1,$I49=5,$I49=9),IF($K49="","Long fast month","Long fast month (LEAP)"),""))</f>
        <v/>
      </c>
      <c r="K49" s="0">
        <f>IFERROR(IF(INDEX(lookup!$G:$G,MATCH($C49,lookup!$D:$D,0))="LEAP","LEAP MONTH - counts as month "&amp;$I49&amp;", flagged for review",""),"")</f>
        <v/>
      </c>
    </row>
    <row r="50" ht="15.75" customHeight="1" s="10">
      <c r="A50" s="6">
        <f>A49+1</f>
        <v/>
      </c>
      <c r="B50" s="1">
        <f>TEXT(A50,"ddd")</f>
        <v/>
      </c>
      <c r="C50" s="1">
        <f>IF($E50=1,"?",C49)</f>
        <v/>
      </c>
      <c r="D50" s="1" t="inlineStr">
        <is>
          <t>十九</t>
        </is>
      </c>
      <c r="E50" s="1">
        <f t="array" ref="E50">_xlfn.XLOOKUP($D50,lookup!$A:$A,lookup!$B:$B)</f>
        <v/>
      </c>
      <c r="F50" s="1" t="n"/>
      <c r="H50" s="5">
        <f>IF($E50="","",IF(OR($E50=8,$E50=14,$E50=15,$E50=23,$E51=1,$E52=1),"Fast day",""))</f>
        <v/>
      </c>
      <c r="I50" s="5">
        <f>IFERROR(INDEX(lookup!$E:$E,MATCH($C50,lookup!$D:$D,0)),"")</f>
        <v/>
      </c>
      <c r="J50" s="5">
        <f>IF($I50="","",IF(OR($I50=1,$I50=5,$I50=9),IF($K50="","Long fast month","Long fast month (LEAP)"),""))</f>
        <v/>
      </c>
      <c r="K50" s="0">
        <f>IFERROR(IF(INDEX(lookup!$G:$G,MATCH($C50,lookup!$D:$D,0))="LEAP","LEAP MONTH - counts as month "&amp;$I50&amp;", flagged for review",""),"")</f>
        <v/>
      </c>
    </row>
    <row r="51" ht="15.75" customHeight="1" s="10">
      <c r="A51" s="6">
        <f>A50+1</f>
        <v/>
      </c>
      <c r="B51" s="1">
        <f>TEXT(A51,"ddd")</f>
        <v/>
      </c>
      <c r="C51" s="1">
        <f>IF($E51=1,"?",C50)</f>
        <v/>
      </c>
      <c r="D51" s="1" t="inlineStr">
        <is>
          <t>二十</t>
        </is>
      </c>
      <c r="E51" s="1">
        <f t="array" ref="E51">_xlfn.XLOOKUP($D51,lookup!$A:$A,lookup!$B:$B)</f>
        <v/>
      </c>
      <c r="F51" s="1" t="n"/>
      <c r="H51" s="5">
        <f>IF($E51="","",IF(OR($E51=8,$E51=14,$E51=15,$E51=23,$E52=1,$E53=1),"Fast day",""))</f>
        <v/>
      </c>
      <c r="I51" s="5">
        <f>IFERROR(INDEX(lookup!$E:$E,MATCH($C51,lookup!$D:$D,0)),"")</f>
        <v/>
      </c>
      <c r="J51" s="5">
        <f>IF($I51="","",IF(OR($I51=1,$I51=5,$I51=9),IF($K51="","Long fast month","Long fast month (LEAP)"),""))</f>
        <v/>
      </c>
      <c r="K51" s="0">
        <f>IFERROR(IF(INDEX(lookup!$G:$G,MATCH($C51,lookup!$D:$D,0))="LEAP","LEAP MONTH - counts as month "&amp;$I51&amp;", flagged for review",""),"")</f>
        <v/>
      </c>
    </row>
    <row r="52" ht="15.75" customHeight="1" s="10">
      <c r="A52" s="6">
        <f>A51+1</f>
        <v/>
      </c>
      <c r="B52" s="1">
        <f>TEXT(A52,"ddd")</f>
        <v/>
      </c>
      <c r="C52" s="1">
        <f>IF($E52=1,"?",C51)</f>
        <v/>
      </c>
      <c r="D52" s="1" t="inlineStr">
        <is>
          <t>廿一</t>
        </is>
      </c>
      <c r="E52" s="1">
        <f t="array" ref="E52">_xlfn.XLOOKUP($D52,lookup!$A:$A,lookup!$B:$B)</f>
        <v/>
      </c>
      <c r="F52" s="1" t="n"/>
      <c r="H52" s="5">
        <f>IF($E52="","",IF(OR($E52=8,$E52=14,$E52=15,$E52=23,$E53=1,$E54=1),"Fast day",""))</f>
        <v/>
      </c>
      <c r="I52" s="5">
        <f>IFERROR(INDEX(lookup!$E:$E,MATCH($C52,lookup!$D:$D,0)),"")</f>
        <v/>
      </c>
      <c r="J52" s="5">
        <f>IF($I52="","",IF(OR($I52=1,$I52=5,$I52=9),IF($K52="","Long fast month","Long fast month (LEAP)"),""))</f>
        <v/>
      </c>
      <c r="K52" s="0">
        <f>IFERROR(IF(INDEX(lookup!$G:$G,MATCH($C52,lookup!$D:$D,0))="LEAP","LEAP MONTH - counts as month "&amp;$I52&amp;", flagged for review",""),"")</f>
        <v/>
      </c>
    </row>
    <row r="53" ht="15.75" customHeight="1" s="10">
      <c r="A53" s="6">
        <f>A52+1</f>
        <v/>
      </c>
      <c r="B53" s="1">
        <f>TEXT(A53,"ddd")</f>
        <v/>
      </c>
      <c r="C53" s="1">
        <f>IF($E53=1,"?",C52)</f>
        <v/>
      </c>
      <c r="D53" s="1" t="inlineStr">
        <is>
          <t>廿二</t>
        </is>
      </c>
      <c r="E53" s="1">
        <f t="array" ref="E53">_xlfn.XLOOKUP($D53,lookup!$A:$A,lookup!$B:$B)</f>
        <v/>
      </c>
      <c r="F53" s="1" t="n"/>
      <c r="G53" s="3" t="inlineStr">
        <is>
          <t>Burning Lamp Buddha of Antiquity’s Birthday</t>
        </is>
      </c>
      <c r="H53" s="5">
        <f>IF($E53="","",IF(OR($E53=8,$E53=14,$E53=15,$E53=23,$E54=1,$E55=1),"Fast day",""))</f>
        <v/>
      </c>
      <c r="I53" s="5">
        <f>IFERROR(INDEX(lookup!$E:$E,MATCH($C53,lookup!$D:$D,0)),"")</f>
        <v/>
      </c>
      <c r="J53" s="5">
        <f>IF($I53="","",IF(OR($I53=1,$I53=5,$I53=9),IF($K53="","Long fast month","Long fast month (LEAP)"),""))</f>
        <v/>
      </c>
      <c r="K53" s="0">
        <f>IFERROR(IF(INDEX(lookup!$G:$G,MATCH($C53,lookup!$D:$D,0))="LEAP","LEAP MONTH - counts as month "&amp;$I53&amp;", flagged for review",""),"")</f>
        <v/>
      </c>
    </row>
    <row r="54" ht="15.75" customHeight="1" s="10">
      <c r="A54" s="6">
        <f>A53+1</f>
        <v/>
      </c>
      <c r="B54" s="1">
        <f>TEXT(A54,"ddd")</f>
        <v/>
      </c>
      <c r="C54" s="1">
        <f>IF($E54=1,"?",C53)</f>
        <v/>
      </c>
      <c r="D54" s="1" t="inlineStr">
        <is>
          <t>廿三</t>
        </is>
      </c>
      <c r="E54" s="1">
        <f t="array" ref="E54">_xlfn.XLOOKUP($D54,lookup!$A:$A,lookup!$B:$B)</f>
        <v/>
      </c>
      <c r="F54" s="1" t="n"/>
      <c r="H54" s="5">
        <f>IF($E54="","",IF(OR($E54=8,$E54=14,$E54=15,$E54=23,$E55=1,$E56=1),"Fast day",""))</f>
        <v/>
      </c>
      <c r="I54" s="5">
        <f>IFERROR(INDEX(lookup!$E:$E,MATCH($C54,lookup!$D:$D,0)),"")</f>
        <v/>
      </c>
      <c r="J54" s="5">
        <f>IF($I54="","",IF(OR($I54=1,$I54=5,$I54=9),IF($K54="","Long fast month","Long fast month (LEAP)"),""))</f>
        <v/>
      </c>
      <c r="K54" s="0">
        <f>IFERROR(IF(INDEX(lookup!$G:$G,MATCH($C54,lookup!$D:$D,0))="LEAP","LEAP MONTH - counts as month "&amp;$I54&amp;", flagged for review",""),"")</f>
        <v/>
      </c>
    </row>
    <row r="55" ht="15.75" customHeight="1" s="10">
      <c r="A55" s="6">
        <f>A54+1</f>
        <v/>
      </c>
      <c r="B55" s="1">
        <f>TEXT(A55,"ddd")</f>
        <v/>
      </c>
      <c r="C55" s="1">
        <f>IF($E55=1,"?",C54)</f>
        <v/>
      </c>
      <c r="D55" s="1" t="inlineStr">
        <is>
          <t>廿四</t>
        </is>
      </c>
      <c r="E55" s="1">
        <f t="array" ref="E55">_xlfn.XLOOKUP($D55,lookup!$A:$A,lookup!$B:$B)</f>
        <v/>
      </c>
      <c r="F55" s="1" t="n"/>
      <c r="H55" s="5">
        <f>IF($E55="","",IF(OR($E55=8,$E55=14,$E55=15,$E55=23,$E56=1,$E57=1),"Fast day",""))</f>
        <v/>
      </c>
      <c r="I55" s="5">
        <f>IFERROR(INDEX(lookup!$E:$E,MATCH($C55,lookup!$D:$D,0)),"")</f>
        <v/>
      </c>
      <c r="J55" s="5">
        <f>IF($I55="","",IF(OR($I55=1,$I55=5,$I55=9),IF($K55="","Long fast month","Long fast month (LEAP)"),""))</f>
        <v/>
      </c>
      <c r="K55" s="0">
        <f>IFERROR(IF(INDEX(lookup!$G:$G,MATCH($C55,lookup!$D:$D,0))="LEAP","LEAP MONTH - counts as month "&amp;$I55&amp;", flagged for review",""),"")</f>
        <v/>
      </c>
    </row>
    <row r="56" ht="15.75" customHeight="1" s="10">
      <c r="A56" s="6">
        <f>A55+1</f>
        <v/>
      </c>
      <c r="B56" s="1">
        <f>TEXT(A56,"ddd")</f>
        <v/>
      </c>
      <c r="C56" s="1">
        <f>IF($E56=1,"?",C55)</f>
        <v/>
      </c>
      <c r="D56" s="1" t="inlineStr">
        <is>
          <t>廿五</t>
        </is>
      </c>
      <c r="E56" s="1">
        <f t="array" ref="E56">_xlfn.XLOOKUP($D56,lookup!$A:$A,lookup!$B:$B)</f>
        <v/>
      </c>
      <c r="F56" s="1" t="n"/>
      <c r="H56" s="5">
        <f>IF($E56="","",IF(OR($E56=8,$E56=14,$E56=15,$E56=23,$E57=1,$E58=1),"Fast day",""))</f>
        <v/>
      </c>
      <c r="I56" s="5">
        <f>IFERROR(INDEX(lookup!$E:$E,MATCH($C56,lookup!$D:$D,0)),"")</f>
        <v/>
      </c>
      <c r="J56" s="5">
        <f>IF($I56="","",IF(OR($I56=1,$I56=5,$I56=9),IF($K56="","Long fast month","Long fast month (LEAP)"),""))</f>
        <v/>
      </c>
      <c r="K56" s="0">
        <f>IFERROR(IF(INDEX(lookup!$G:$G,MATCH($C56,lookup!$D:$D,0))="LEAP","LEAP MONTH - counts as month "&amp;$I56&amp;", flagged for review",""),"")</f>
        <v/>
      </c>
    </row>
    <row r="57" ht="15.75" customHeight="1" s="10">
      <c r="A57" s="6">
        <f>A56+1</f>
        <v/>
      </c>
      <c r="B57" s="1">
        <f>TEXT(A57,"ddd")</f>
        <v/>
      </c>
      <c r="C57" s="1">
        <f>IF($E57=1,"?",C56)</f>
        <v/>
      </c>
      <c r="D57" s="1" t="inlineStr">
        <is>
          <t>廿六</t>
        </is>
      </c>
      <c r="E57" s="1">
        <f t="array" ref="E57">_xlfn.XLOOKUP($D57,lookup!$A:$A,lookup!$B:$B)</f>
        <v/>
      </c>
      <c r="F57" s="1" t="n"/>
      <c r="H57" s="5">
        <f>IF($E57="","",IF(OR($E57=8,$E57=14,$E57=15,$E57=23,$E58=1,$E59=1),"Fast day",""))</f>
        <v/>
      </c>
      <c r="I57" s="5">
        <f>IFERROR(INDEX(lookup!$E:$E,MATCH($C57,lookup!$D:$D,0)),"")</f>
        <v/>
      </c>
      <c r="J57" s="5">
        <f>IF($I57="","",IF(OR($I57=1,$I57=5,$I57=9),IF($K57="","Long fast month","Long fast month (LEAP)"),""))</f>
        <v/>
      </c>
      <c r="K57" s="0">
        <f>IFERROR(IF(INDEX(lookup!$G:$G,MATCH($C57,lookup!$D:$D,0))="LEAP","LEAP MONTH - counts as month "&amp;$I57&amp;", flagged for review",""),"")</f>
        <v/>
      </c>
    </row>
    <row r="58" ht="15.75" customHeight="1" s="10">
      <c r="A58" s="6">
        <f>A57+1</f>
        <v/>
      </c>
      <c r="B58" s="1">
        <f>TEXT(A58,"ddd")</f>
        <v/>
      </c>
      <c r="C58" s="1">
        <f>IF($E58=1,"?",C57)</f>
        <v/>
      </c>
      <c r="D58" s="1" t="inlineStr">
        <is>
          <t>廿七</t>
        </is>
      </c>
      <c r="E58" s="1">
        <f t="array" ref="E58">_xlfn.XLOOKUP($D58,lookup!$A:$A,lookup!$B:$B)</f>
        <v/>
      </c>
      <c r="F58" s="1" t="n"/>
      <c r="H58" s="5">
        <f>IF($E58="","",IF(OR($E58=8,$E58=14,$E58=15,$E58=23,$E59=1,$E60=1),"Fast day",""))</f>
        <v/>
      </c>
      <c r="I58" s="5">
        <f>IFERROR(INDEX(lookup!$E:$E,MATCH($C58,lookup!$D:$D,0)),"")</f>
        <v/>
      </c>
      <c r="J58" s="5">
        <f>IF($I58="","",IF(OR($I58=1,$I58=5,$I58=9),IF($K58="","Long fast month","Long fast month (LEAP)"),""))</f>
        <v/>
      </c>
      <c r="K58" s="0">
        <f>IFERROR(IF(INDEX(lookup!$G:$G,MATCH($C58,lookup!$D:$D,0))="LEAP","LEAP MONTH - counts as month "&amp;$I58&amp;", flagged for review",""),"")</f>
        <v/>
      </c>
    </row>
    <row r="59" ht="15.75" customHeight="1" s="10">
      <c r="A59" s="6">
        <f>A58+1</f>
        <v/>
      </c>
      <c r="B59" s="1">
        <f>TEXT(A59,"ddd")</f>
        <v/>
      </c>
      <c r="C59" s="1">
        <f>IF($E59=1,"?",C58)</f>
        <v/>
      </c>
      <c r="D59" s="1" t="inlineStr">
        <is>
          <t>廿八</t>
        </is>
      </c>
      <c r="E59" s="1">
        <f t="array" ref="E59">_xlfn.XLOOKUP($D59,lookup!$A:$A,lookup!$B:$B)</f>
        <v/>
      </c>
      <c r="F59" s="1" t="n"/>
      <c r="H59" s="5">
        <f>IF($E59="","",IF(OR($E59=8,$E59=14,$E59=15,$E59=23,$E60=1,$E61=1),"Fast day",""))</f>
        <v/>
      </c>
      <c r="I59" s="5">
        <f>IFERROR(INDEX(lookup!$E:$E,MATCH($C59,lookup!$D:$D,0)),"")</f>
        <v/>
      </c>
      <c r="J59" s="5">
        <f>IF($I59="","",IF(OR($I59=1,$I59=5,$I59=9),IF($K59="","Long fast month","Long fast month (LEAP)"),""))</f>
        <v/>
      </c>
      <c r="K59" s="0">
        <f>IFERROR(IF(INDEX(lookup!$G:$G,MATCH($C59,lookup!$D:$D,0))="LEAP","LEAP MONTH - counts as month "&amp;$I59&amp;", flagged for review",""),"")</f>
        <v/>
      </c>
    </row>
    <row r="60" ht="15.75" customHeight="1" s="10">
      <c r="A60" s="6">
        <f>A59+1</f>
        <v/>
      </c>
      <c r="B60" s="1">
        <f>TEXT(A60,"ddd")</f>
        <v/>
      </c>
      <c r="C60" s="1">
        <f>IF($E60=1,"?",C59)</f>
        <v/>
      </c>
      <c r="D60" s="1" t="inlineStr">
        <is>
          <t>廿九</t>
        </is>
      </c>
      <c r="E60" s="1">
        <f t="array" ref="E60">_xlfn.XLOOKUP($D60,lookup!$A:$A,lookup!$B:$B)</f>
        <v/>
      </c>
      <c r="F60" s="1" t="n"/>
      <c r="H60" s="5">
        <f>IF($E60="","",IF(OR($E60=8,$E60=14,$E60=15,$E60=23,$E61=1,$E62=1),"Fast day",""))</f>
        <v/>
      </c>
      <c r="I60" s="5">
        <f>IFERROR(INDEX(lookup!$E:$E,MATCH($C60,lookup!$D:$D,0)),"")</f>
        <v/>
      </c>
      <c r="J60" s="5">
        <f>IF($I60="","",IF(OR($I60=1,$I60=5,$I60=9),IF($K60="","Long fast month","Long fast month (LEAP)"),""))</f>
        <v/>
      </c>
      <c r="K60" s="0">
        <f>IFERROR(IF(INDEX(lookup!$G:$G,MATCH($C60,lookup!$D:$D,0))="LEAP","LEAP MONTH - counts as month "&amp;$I60&amp;", flagged for review",""),"")</f>
        <v/>
      </c>
    </row>
    <row r="61" ht="15.75" customHeight="1" s="10">
      <c r="A61" s="6">
        <f>A60+1</f>
        <v/>
      </c>
      <c r="B61" s="1">
        <f>TEXT(A61,"ddd")</f>
        <v/>
      </c>
      <c r="C61" s="1" t="inlineStr">
        <is>
          <t>九月</t>
        </is>
      </c>
      <c r="D61" s="1" t="inlineStr">
        <is>
          <t>初一</t>
        </is>
      </c>
      <c r="E61" s="1">
        <f t="array" ref="E61">_xlfn.XLOOKUP($D61,lookup!$A:$A,lookup!$B:$B)</f>
        <v/>
      </c>
      <c r="F61" s="1" t="inlineStr">
        <is>
          <t>New</t>
        </is>
      </c>
      <c r="H61" s="5">
        <f>IF($E61="","",IF(OR($E61=8,$E61=14,$E61=15,$E61=23,$E62=1,$E63=1),"Fast day",""))</f>
        <v/>
      </c>
      <c r="I61" s="5">
        <f>IFERROR(INDEX(lookup!$E:$E,MATCH($C61,lookup!$D:$D,0)),"")</f>
        <v/>
      </c>
      <c r="J61" s="5">
        <f>IF($I61="","",IF(OR($I61=1,$I61=5,$I61=9),IF($K61="","Long fast month","Long fast month (LEAP)"),""))</f>
        <v/>
      </c>
      <c r="K61" s="0">
        <f>IFERROR(IF(INDEX(lookup!$G:$G,MATCH($C61,lookup!$D:$D,0))="LEAP","LEAP MONTH - counts as month "&amp;$I61&amp;", flagged for review",""),"")</f>
        <v/>
      </c>
    </row>
    <row r="62" ht="15.75" customHeight="1" s="10">
      <c r="A62" s="6">
        <f>A61+1</f>
        <v/>
      </c>
      <c r="B62" s="1">
        <f>TEXT(A62,"ddd")</f>
        <v/>
      </c>
      <c r="C62" s="1">
        <f>IF($E62=1,"?",C61)</f>
        <v/>
      </c>
      <c r="D62" s="1" t="inlineStr">
        <is>
          <t>初二</t>
        </is>
      </c>
      <c r="E62" s="1">
        <f t="array" ref="E62">_xlfn.XLOOKUP($D62,lookup!$A:$A,lookup!$B:$B)</f>
        <v/>
      </c>
      <c r="F62" s="1" t="n"/>
      <c r="H62" s="5">
        <f>IF($E62="","",IF(OR($E62=8,$E62=14,$E62=15,$E62=23,$E63=1,$E64=1),"Fast day",""))</f>
        <v/>
      </c>
      <c r="I62" s="5">
        <f>IFERROR(INDEX(lookup!$E:$E,MATCH($C62,lookup!$D:$D,0)),"")</f>
        <v/>
      </c>
      <c r="J62" s="5">
        <f>IF($I62="","",IF(OR($I62=1,$I62=5,$I62=9),IF($K62="","Long fast month","Long fast month (LEAP)"),""))</f>
        <v/>
      </c>
      <c r="K62" s="0">
        <f>IFERROR(IF(INDEX(lookup!$G:$G,MATCH($C62,lookup!$D:$D,0))="LEAP","LEAP MONTH - counts as month "&amp;$I62&amp;", flagged for review",""),"")</f>
        <v/>
      </c>
    </row>
    <row r="63" ht="15.75" customHeight="1" s="10">
      <c r="A63" s="6">
        <f>A62+1</f>
        <v/>
      </c>
      <c r="B63" s="1">
        <f>TEXT(A63,"ddd")</f>
        <v/>
      </c>
      <c r="C63" s="1">
        <f>IF($E63=1,"?",C62)</f>
        <v/>
      </c>
      <c r="D63" s="1" t="inlineStr">
        <is>
          <t>初三</t>
        </is>
      </c>
      <c r="E63" s="1">
        <f t="array" ref="E63">_xlfn.XLOOKUP($D63,lookup!$A:$A,lookup!$B:$B)</f>
        <v/>
      </c>
      <c r="F63" s="1" t="n"/>
      <c r="H63" s="5">
        <f>IF($E63="","",IF(OR($E63=8,$E63=14,$E63=15,$E63=23,$E64=1,$E65=1),"Fast day",""))</f>
        <v/>
      </c>
      <c r="I63" s="5">
        <f>IFERROR(INDEX(lookup!$E:$E,MATCH($C63,lookup!$D:$D,0)),"")</f>
        <v/>
      </c>
      <c r="J63" s="5">
        <f>IF($I63="","",IF(OR($I63=1,$I63=5,$I63=9),IF($K63="","Long fast month","Long fast month (LEAP)"),""))</f>
        <v/>
      </c>
      <c r="K63" s="0">
        <f>IFERROR(IF(INDEX(lookup!$G:$G,MATCH($C63,lookup!$D:$D,0))="LEAP","LEAP MONTH - counts as month "&amp;$I63&amp;", flagged for review",""),"")</f>
        <v/>
      </c>
    </row>
    <row r="64" ht="15.75" customHeight="1" s="10">
      <c r="A64" s="6">
        <f>A63+1</f>
        <v/>
      </c>
      <c r="B64" s="1">
        <f>TEXT(A64,"ddd")</f>
        <v/>
      </c>
      <c r="C64" s="1">
        <f>IF($E64=1,"?",C63)</f>
        <v/>
      </c>
      <c r="D64" s="1" t="inlineStr">
        <is>
          <t>初四</t>
        </is>
      </c>
      <c r="E64" s="1">
        <f t="array" ref="E64">_xlfn.XLOOKUP($D64,lookup!$A:$A,lookup!$B:$B)</f>
        <v/>
      </c>
      <c r="F64" s="1" t="n"/>
      <c r="H64" s="5">
        <f>IF($E64="","",IF(OR($E64=8,$E64=14,$E64=15,$E64=23,$E65=1,$E66=1),"Fast day",""))</f>
        <v/>
      </c>
      <c r="I64" s="5">
        <f>IFERROR(INDEX(lookup!$E:$E,MATCH($C64,lookup!$D:$D,0)),"")</f>
        <v/>
      </c>
      <c r="J64" s="5">
        <f>IF($I64="","",IF(OR($I64=1,$I64=5,$I64=9),IF($K64="","Long fast month","Long fast month (LEAP)"),""))</f>
        <v/>
      </c>
      <c r="K64" s="0">
        <f>IFERROR(IF(INDEX(lookup!$G:$G,MATCH($C64,lookup!$D:$D,0))="LEAP","LEAP MONTH - counts as month "&amp;$I64&amp;", flagged for review",""),"")</f>
        <v/>
      </c>
    </row>
    <row r="65" ht="15.75" customHeight="1" s="10">
      <c r="A65" s="6">
        <f>A64+1</f>
        <v/>
      </c>
      <c r="B65" s="1">
        <f>TEXT(A65,"ddd")</f>
        <v/>
      </c>
      <c r="C65" s="1">
        <f>IF($E65=1,"?",C64)</f>
        <v/>
      </c>
      <c r="D65" s="1" t="inlineStr">
        <is>
          <t>初五</t>
        </is>
      </c>
      <c r="E65" s="1">
        <f t="array" ref="E65">_xlfn.XLOOKUP($D65,lookup!$A:$A,lookup!$B:$B)</f>
        <v/>
      </c>
      <c r="F65" s="1" t="n"/>
      <c r="H65" s="5">
        <f>IF($E65="","",IF(OR($E65=8,$E65=14,$E65=15,$E65=23,$E66=1,$E67=1),"Fast day",""))</f>
        <v/>
      </c>
      <c r="I65" s="5">
        <f>IFERROR(INDEX(lookup!$E:$E,MATCH($C65,lookup!$D:$D,0)),"")</f>
        <v/>
      </c>
      <c r="J65" s="5">
        <f>IF($I65="","",IF(OR($I65=1,$I65=5,$I65=9),IF($K65="","Long fast month","Long fast month (LEAP)"),""))</f>
        <v/>
      </c>
      <c r="K65" s="0">
        <f>IFERROR(IF(INDEX(lookup!$G:$G,MATCH($C65,lookup!$D:$D,0))="LEAP","LEAP MONTH - counts as month "&amp;$I65&amp;", flagged for review",""),"")</f>
        <v/>
      </c>
    </row>
    <row r="66" ht="15.75" customHeight="1" s="10">
      <c r="A66" s="6">
        <f>A65+1</f>
        <v/>
      </c>
      <c r="B66" s="1">
        <f>TEXT(A66,"ddd")</f>
        <v/>
      </c>
      <c r="C66" s="1">
        <f>IF($E66=1,"?",C65)</f>
        <v/>
      </c>
      <c r="D66" s="1" t="inlineStr">
        <is>
          <t>初六</t>
        </is>
      </c>
      <c r="E66" s="1">
        <f t="array" ref="E66">_xlfn.XLOOKUP($D66,lookup!$A:$A,lookup!$B:$B)</f>
        <v/>
      </c>
      <c r="F66" s="1" t="n"/>
      <c r="H66" s="5">
        <f>IF($E66="","",IF(OR($E66=8,$E66=14,$E66=15,$E66=23,$E67=1,$E68=1),"Fast day",""))</f>
        <v/>
      </c>
      <c r="I66" s="5">
        <f>IFERROR(INDEX(lookup!$E:$E,MATCH($C66,lookup!$D:$D,0)),"")</f>
        <v/>
      </c>
      <c r="J66" s="5">
        <f>IF($I66="","",IF(OR($I66=1,$I66=5,$I66=9),IF($K66="","Long fast month","Long fast month (LEAP)"),""))</f>
        <v/>
      </c>
      <c r="K66" s="0">
        <f>IFERROR(IF(INDEX(lookup!$G:$G,MATCH($C66,lookup!$D:$D,0))="LEAP","LEAP MONTH - counts as month "&amp;$I66&amp;", flagged for review",""),"")</f>
        <v/>
      </c>
    </row>
    <row r="67" ht="15.75" customHeight="1" s="10">
      <c r="A67" s="6">
        <f>A66+1</f>
        <v/>
      </c>
      <c r="B67" s="1">
        <f>TEXT(A67,"ddd")</f>
        <v/>
      </c>
      <c r="C67" s="1">
        <f>IF($E67=1,"?",C66)</f>
        <v/>
      </c>
      <c r="D67" s="1" t="inlineStr">
        <is>
          <t>初七</t>
        </is>
      </c>
      <c r="E67" s="1">
        <f t="array" ref="E67">_xlfn.XLOOKUP($D67,lookup!$A:$A,lookup!$B:$B)</f>
        <v/>
      </c>
      <c r="F67" s="1" t="n"/>
      <c r="H67" s="5">
        <f>IF($E67="","",IF(OR($E67=8,$E67=14,$E67=15,$E67=23,$E68=1,$E69=1),"Fast day",""))</f>
        <v/>
      </c>
      <c r="I67" s="5">
        <f>IFERROR(INDEX(lookup!$E:$E,MATCH($C67,lookup!$D:$D,0)),"")</f>
        <v/>
      </c>
      <c r="J67" s="5">
        <f>IF($I67="","",IF(OR($I67=1,$I67=5,$I67=9),IF($K67="","Long fast month","Long fast month (LEAP)"),""))</f>
        <v/>
      </c>
      <c r="K67" s="0">
        <f>IFERROR(IF(INDEX(lookup!$G:$G,MATCH($C67,lookup!$D:$D,0))="LEAP","LEAP MONTH - counts as month "&amp;$I67&amp;", flagged for review",""),"")</f>
        <v/>
      </c>
    </row>
    <row r="68" ht="15.75" customHeight="1" s="10">
      <c r="A68" s="6">
        <f>A67+1</f>
        <v/>
      </c>
      <c r="B68" s="1">
        <f>TEXT(A68,"ddd")</f>
        <v/>
      </c>
      <c r="C68" s="1">
        <f>IF($E68=1,"?",C67)</f>
        <v/>
      </c>
      <c r="D68" s="1" t="inlineStr">
        <is>
          <t>初八</t>
        </is>
      </c>
      <c r="E68" s="1">
        <f t="array" ref="E68">_xlfn.XLOOKUP($D68,lookup!$A:$A,lookup!$B:$B)</f>
        <v/>
      </c>
      <c r="F68" s="1" t="n"/>
      <c r="H68" s="5">
        <f>IF($E68="","",IF(OR($E68=8,$E68=14,$E68=15,$E68=23,$E69=1,$E70=1),"Fast day",""))</f>
        <v/>
      </c>
      <c r="I68" s="5">
        <f>IFERROR(INDEX(lookup!$E:$E,MATCH($C68,lookup!$D:$D,0)),"")</f>
        <v/>
      </c>
      <c r="J68" s="5">
        <f>IF($I68="","",IF(OR($I68=1,$I68=5,$I68=9),IF($K68="","Long fast month","Long fast month (LEAP)"),""))</f>
        <v/>
      </c>
      <c r="K68" s="0">
        <f>IFERROR(IF(INDEX(lookup!$G:$G,MATCH($C68,lookup!$D:$D,0))="LEAP","LEAP MONTH - counts as month "&amp;$I68&amp;", flagged for review",""),"")</f>
        <v/>
      </c>
    </row>
    <row r="69" ht="15.75" customHeight="1" s="10">
      <c r="A69" s="6">
        <f>A68+1</f>
        <v/>
      </c>
      <c r="B69" s="1">
        <f>TEXT(A69,"ddd")</f>
        <v/>
      </c>
      <c r="C69" s="1">
        <f>IF($E69=1,"?",C68)</f>
        <v/>
      </c>
      <c r="D69" s="1" t="inlineStr">
        <is>
          <t>初九</t>
        </is>
      </c>
      <c r="E69" s="1">
        <f t="array" ref="E69">_xlfn.XLOOKUP($D69,lookup!$A:$A,lookup!$B:$B)</f>
        <v/>
      </c>
      <c r="F69" s="1" t="n"/>
      <c r="H69" s="5">
        <f>IF($E69="","",IF(OR($E69=8,$E69=14,$E69=15,$E69=23,$E70=1,$E71=1),"Fast day",""))</f>
        <v/>
      </c>
      <c r="I69" s="5">
        <f>IFERROR(INDEX(lookup!$E:$E,MATCH($C69,lookup!$D:$D,0)),"")</f>
        <v/>
      </c>
      <c r="J69" s="5">
        <f>IF($I69="","",IF(OR($I69=1,$I69=5,$I69=9),IF($K69="","Long fast month","Long fast month (LEAP)"),""))</f>
        <v/>
      </c>
      <c r="K69" s="0">
        <f>IFERROR(IF(INDEX(lookup!$G:$G,MATCH($C69,lookup!$D:$D,0))="LEAP","LEAP MONTH - counts as month "&amp;$I69&amp;", flagged for review",""),"")</f>
        <v/>
      </c>
    </row>
    <row r="70" ht="15.75" customHeight="1" s="10">
      <c r="A70" s="6">
        <f>A69+1</f>
        <v/>
      </c>
      <c r="B70" s="1">
        <f>TEXT(A70,"ddd")</f>
        <v/>
      </c>
      <c r="C70" s="1">
        <f>IF($E70=1,"?",C69)</f>
        <v/>
      </c>
      <c r="D70" s="1" t="inlineStr">
        <is>
          <t>初十</t>
        </is>
      </c>
      <c r="E70" s="1">
        <f t="array" ref="E70">_xlfn.XLOOKUP($D70,lookup!$A:$A,lookup!$B:$B)</f>
        <v/>
      </c>
      <c r="F70" s="1" t="n"/>
      <c r="G70" s="3" t="inlineStr">
        <is>
          <t>Monthly Memorial of Venerable Master Hua’s Entering Nirvana</t>
        </is>
      </c>
      <c r="H70" s="5">
        <f>IF($E70="","",IF(OR($E70=8,$E70=14,$E70=15,$E70=23,$E71=1,$E72=1),"Fast day",""))</f>
        <v/>
      </c>
      <c r="I70" s="5">
        <f>IFERROR(INDEX(lookup!$E:$E,MATCH($C70,lookup!$D:$D,0)),"")</f>
        <v/>
      </c>
      <c r="J70" s="5">
        <f>IF($I70="","",IF(OR($I70=1,$I70=5,$I70=9),IF($K70="","Long fast month","Long fast month (LEAP)"),""))</f>
        <v/>
      </c>
      <c r="K70" s="0">
        <f>IFERROR(IF(INDEX(lookup!$G:$G,MATCH($C70,lookup!$D:$D,0))="LEAP","LEAP MONTH - counts as month "&amp;$I70&amp;", flagged for review",""),"")</f>
        <v/>
      </c>
    </row>
    <row r="71" ht="15.75" customHeight="1" s="10">
      <c r="A71" s="6">
        <f>A70+1</f>
        <v/>
      </c>
      <c r="B71" s="1">
        <f>TEXT(A71,"ddd")</f>
        <v/>
      </c>
      <c r="C71" s="1">
        <f>IF($E71=1,"?",C70)</f>
        <v/>
      </c>
      <c r="D71" s="1" t="inlineStr">
        <is>
          <t>十一</t>
        </is>
      </c>
      <c r="E71" s="1">
        <f t="array" ref="E71">_xlfn.XLOOKUP($D71,lookup!$A:$A,lookup!$B:$B)</f>
        <v/>
      </c>
      <c r="F71" s="1" t="n"/>
      <c r="H71" s="5">
        <f>IF($E71="","",IF(OR($E71=8,$E71=14,$E71=15,$E71=23,$E72=1,$E73=1),"Fast day",""))</f>
        <v/>
      </c>
      <c r="I71" s="5">
        <f>IFERROR(INDEX(lookup!$E:$E,MATCH($C71,lookup!$D:$D,0)),"")</f>
        <v/>
      </c>
      <c r="J71" s="5">
        <f>IF($I71="","",IF(OR($I71=1,$I71=5,$I71=9),IF($K71="","Long fast month","Long fast month (LEAP)"),""))</f>
        <v/>
      </c>
      <c r="K71" s="0">
        <f>IFERROR(IF(INDEX(lookup!$G:$G,MATCH($C71,lookup!$D:$D,0))="LEAP","LEAP MONTH - counts as month "&amp;$I71&amp;", flagged for review",""),"")</f>
        <v/>
      </c>
    </row>
    <row r="72" ht="15.75" customHeight="1" s="10">
      <c r="A72" s="6">
        <f>A71+1</f>
        <v/>
      </c>
      <c r="B72" s="1">
        <f>TEXT(A72,"ddd")</f>
        <v/>
      </c>
      <c r="C72" s="1">
        <f>IF($E72=1,"?",C71)</f>
        <v/>
      </c>
      <c r="D72" s="1" t="inlineStr">
        <is>
          <t>十二</t>
        </is>
      </c>
      <c r="E72" s="1">
        <f t="array" ref="E72">_xlfn.XLOOKUP($D72,lookup!$A:$A,lookup!$B:$B)</f>
        <v/>
      </c>
      <c r="F72" s="1" t="n"/>
      <c r="G72" s="3" t="inlineStr">
        <is>
          <t>Ven.Master Hsu Yun’s Nirvana Day</t>
        </is>
      </c>
      <c r="H72" s="5">
        <f>IF($E72="","",IF(OR($E72=8,$E72=14,$E72=15,$E72=23,$E73=1,$E74=1),"Fast day",""))</f>
        <v/>
      </c>
      <c r="I72" s="5">
        <f>IFERROR(INDEX(lookup!$E:$E,MATCH($C72,lookup!$D:$D,0)),"")</f>
        <v/>
      </c>
      <c r="J72" s="5">
        <f>IF($I72="","",IF(OR($I72=1,$I72=5,$I72=9),IF($K72="","Long fast month","Long fast month (LEAP)"),""))</f>
        <v/>
      </c>
      <c r="K72" s="0">
        <f>IFERROR(IF(INDEX(lookup!$G:$G,MATCH($C72,lookup!$D:$D,0))="LEAP","LEAP MONTH - counts as month "&amp;$I72&amp;", flagged for review",""),"")</f>
        <v/>
      </c>
    </row>
    <row r="73" ht="15.75" customHeight="1" s="10">
      <c r="A73" s="6">
        <f>A72+1</f>
        <v/>
      </c>
      <c r="B73" s="1">
        <f>TEXT(A73,"ddd")</f>
        <v/>
      </c>
      <c r="C73" s="1">
        <f>IF($E73=1,"?",C72)</f>
        <v/>
      </c>
      <c r="D73" s="1" t="inlineStr">
        <is>
          <t>十三</t>
        </is>
      </c>
      <c r="E73" s="1">
        <f t="array" ref="E73">_xlfn.XLOOKUP($D73,lookup!$A:$A,lookup!$B:$B)</f>
        <v/>
      </c>
      <c r="F73" s="1" t="n"/>
      <c r="H73" s="5">
        <f>IF($E73="","",IF(OR($E73=8,$E73=14,$E73=15,$E73=23,$E74=1,$E75=1),"Fast day",""))</f>
        <v/>
      </c>
      <c r="I73" s="5">
        <f>IFERROR(INDEX(lookup!$E:$E,MATCH($C73,lookup!$D:$D,0)),"")</f>
        <v/>
      </c>
      <c r="J73" s="5">
        <f>IF($I73="","",IF(OR($I73=1,$I73=5,$I73=9),IF($K73="","Long fast month","Long fast month (LEAP)"),""))</f>
        <v/>
      </c>
      <c r="K73" s="0">
        <f>IFERROR(IF(INDEX(lookup!$G:$G,MATCH($C73,lookup!$D:$D,0))="LEAP","LEAP MONTH - counts as month "&amp;$I73&amp;", flagged for review",""),"")</f>
        <v/>
      </c>
    </row>
    <row r="74" ht="15.75" customHeight="1" s="10">
      <c r="A74" s="6">
        <f>A73+1</f>
        <v/>
      </c>
      <c r="B74" s="1">
        <f>TEXT(A74,"ddd")</f>
        <v/>
      </c>
      <c r="C74" s="1">
        <f>IF($E74=1,"?",C73)</f>
        <v/>
      </c>
      <c r="D74" s="1" t="inlineStr">
        <is>
          <t>十四</t>
        </is>
      </c>
      <c r="E74" s="1">
        <f t="array" ref="E74">_xlfn.XLOOKUP($D74,lookup!$A:$A,lookup!$B:$B)</f>
        <v/>
      </c>
      <c r="F74" s="1" t="n"/>
      <c r="H74" s="5">
        <f>IF($E74="","",IF(OR($E74=8,$E74=14,$E74=15,$E74=23,$E75=1,$E76=1),"Fast day",""))</f>
        <v/>
      </c>
      <c r="I74" s="5">
        <f>IFERROR(INDEX(lookup!$E:$E,MATCH($C74,lookup!$D:$D,0)),"")</f>
        <v/>
      </c>
      <c r="J74" s="5">
        <f>IF($I74="","",IF(OR($I74=1,$I74=5,$I74=9),IF($K74="","Long fast month","Long fast month (LEAP)"),""))</f>
        <v/>
      </c>
      <c r="K74" s="0">
        <f>IFERROR(IF(INDEX(lookup!$G:$G,MATCH($C74,lookup!$D:$D,0))="LEAP","LEAP MONTH - counts as month "&amp;$I74&amp;", flagged for review",""),"")</f>
        <v/>
      </c>
    </row>
    <row r="75" ht="15.75" customHeight="1" s="10">
      <c r="A75" s="6">
        <f>A74+1</f>
        <v/>
      </c>
      <c r="B75" s="1">
        <f>TEXT(A75,"ddd")</f>
        <v/>
      </c>
      <c r="C75" s="1" t="inlineStr">
        <is>
          <t>九月</t>
        </is>
      </c>
      <c r="D75" s="1" t="inlineStr">
        <is>
          <t>十五</t>
        </is>
      </c>
      <c r="E75" s="1">
        <f t="array" ref="E75">_xlfn.XLOOKUP($D75,lookup!$A:$A,lookup!$B:$B)</f>
        <v/>
      </c>
      <c r="F75" s="1" t="inlineStr">
        <is>
          <t>Full</t>
        </is>
      </c>
      <c r="G75" s="3" t="inlineStr">
        <is>
          <t>Great Master Chang Ren’s Leaving Home Day
United Nations Day</t>
        </is>
      </c>
      <c r="H75" s="5">
        <f>IF($E75="","",IF(OR($E75=8,$E75=14,$E75=15,$E75=23,$E76=1,$E77=1),"Fast day",""))</f>
        <v/>
      </c>
      <c r="I75" s="5">
        <f>IFERROR(INDEX(lookup!$E:$E,MATCH($C75,lookup!$D:$D,0)),"")</f>
        <v/>
      </c>
      <c r="J75" s="5">
        <f>IF($I75="","",IF(OR($I75=1,$I75=5,$I75=9),IF($K75="","Long fast month","Long fast month (LEAP)"),""))</f>
        <v/>
      </c>
      <c r="K75" s="0">
        <f>IFERROR(IF(INDEX(lookup!$G:$G,MATCH($C75,lookup!$D:$D,0))="LEAP","LEAP MONTH - counts as month "&amp;$I75&amp;", flagged for review",""),"")</f>
        <v/>
      </c>
    </row>
    <row r="76" ht="15.75" customHeight="1" s="10">
      <c r="A76" s="6">
        <f>A75+1</f>
        <v/>
      </c>
      <c r="B76" s="1">
        <f>TEXT(A76,"ddd")</f>
        <v/>
      </c>
      <c r="C76" s="1">
        <f>IF($E76=1,"?",C75)</f>
        <v/>
      </c>
      <c r="D76" s="1" t="inlineStr">
        <is>
          <t>十六</t>
        </is>
      </c>
      <c r="E76" s="1">
        <f t="array" ref="E76">_xlfn.XLOOKUP($D76,lookup!$A:$A,lookup!$B:$B)</f>
        <v/>
      </c>
      <c r="F76" s="1" t="n"/>
      <c r="G76" s="3" t="inlineStr">
        <is>
          <t>Ven. Master Hua’s Leaving Home Day | Celebration of Guan Yin Bodhisattva’s Leaving Home</t>
        </is>
      </c>
      <c r="H76" s="5">
        <f>IF($E76="","",IF(OR($E76=8,$E76=14,$E76=15,$E76=23,$E77=1,$E78=1),"Fast day",""))</f>
        <v/>
      </c>
      <c r="I76" s="5">
        <f>IFERROR(INDEX(lookup!$E:$E,MATCH($C76,lookup!$D:$D,0)),"")</f>
        <v/>
      </c>
      <c r="J76" s="5">
        <f>IF($I76="","",IF(OR($I76=1,$I76=5,$I76=9),IF($K76="","Long fast month","Long fast month (LEAP)"),""))</f>
        <v/>
      </c>
      <c r="K76" s="0">
        <f>IFERROR(IF(INDEX(lookup!$G:$G,MATCH($C76,lookup!$D:$D,0))="LEAP","LEAP MONTH - counts as month "&amp;$I76&amp;", flagged for review",""),"")</f>
        <v/>
      </c>
    </row>
    <row r="77" ht="15.75" customHeight="1" s="10">
      <c r="A77" s="6">
        <f>A76+1</f>
        <v/>
      </c>
      <c r="B77" s="1">
        <f>TEXT(A77,"ddd")</f>
        <v/>
      </c>
      <c r="C77" s="1">
        <f>IF($E77=1,"?",C76)</f>
        <v/>
      </c>
      <c r="D77" s="1" t="inlineStr">
        <is>
          <t>十七</t>
        </is>
      </c>
      <c r="E77" s="1">
        <f t="array" ref="E77">_xlfn.XLOOKUP($D77,lookup!$A:$A,lookup!$B:$B)</f>
        <v/>
      </c>
      <c r="F77" s="1" t="n"/>
      <c r="G77" s="3" t="inlineStr">
        <is>
          <t>Great Master Chang Jr’s Enlightenment Day</t>
        </is>
      </c>
      <c r="H77" s="5">
        <f>IF($E77="","",IF(OR($E77=8,$E77=14,$E77=15,$E77=23,$E78=1,$E79=1),"Fast day",""))</f>
        <v/>
      </c>
      <c r="I77" s="5">
        <f>IFERROR(INDEX(lookup!$E:$E,MATCH($C77,lookup!$D:$D,0)),"")</f>
        <v/>
      </c>
      <c r="J77" s="5">
        <f>IF($I77="","",IF(OR($I77=1,$I77=5,$I77=9),IF($K77="","Long fast month","Long fast month (LEAP)"),""))</f>
        <v/>
      </c>
      <c r="K77" s="0">
        <f>IFERROR(IF(INDEX(lookup!$G:$G,MATCH($C77,lookup!$D:$D,0))="LEAP","LEAP MONTH - counts as month "&amp;$I77&amp;", flagged for review",""),"")</f>
        <v/>
      </c>
    </row>
    <row r="78" ht="15.75" customHeight="1" s="10">
      <c r="A78" s="6">
        <f>A77+1</f>
        <v/>
      </c>
      <c r="B78" s="1">
        <f>TEXT(A78,"ddd")</f>
        <v/>
      </c>
      <c r="C78" s="1">
        <f>IF($E78=1,"?",C77)</f>
        <v/>
      </c>
      <c r="D78" s="1" t="inlineStr">
        <is>
          <t>十八</t>
        </is>
      </c>
      <c r="E78" s="1">
        <f t="array" ref="E78">_xlfn.XLOOKUP($D78,lookup!$A:$A,lookup!$B:$B)</f>
        <v/>
      </c>
      <c r="F78" s="1" t="n"/>
      <c r="H78" s="5">
        <f>IF($E78="","",IF(OR($E78=8,$E78=14,$E78=15,$E78=23,$E79=1,$E80=1),"Fast day",""))</f>
        <v/>
      </c>
      <c r="I78" s="5">
        <f>IFERROR(INDEX(lookup!$E:$E,MATCH($C78,lookup!$D:$D,0)),"")</f>
        <v/>
      </c>
      <c r="J78" s="5">
        <f>IF($I78="","",IF(OR($I78=1,$I78=5,$I78=9),IF($K78="","Long fast month","Long fast month (LEAP)"),""))</f>
        <v/>
      </c>
      <c r="K78" s="0">
        <f>IFERROR(IF(INDEX(lookup!$G:$G,MATCH($C78,lookup!$D:$D,0))="LEAP","LEAP MONTH - counts as month "&amp;$I78&amp;", flagged for review",""),"")</f>
        <v/>
      </c>
    </row>
    <row r="79" ht="15.75" customHeight="1" s="10">
      <c r="A79" s="6">
        <f>A78+1</f>
        <v/>
      </c>
      <c r="B79" s="1">
        <f>TEXT(A79,"ddd")</f>
        <v/>
      </c>
      <c r="C79" s="1">
        <f>IF($E79=1,"?",C78)</f>
        <v/>
      </c>
      <c r="D79" s="1" t="inlineStr">
        <is>
          <t>十九</t>
        </is>
      </c>
      <c r="E79" s="1">
        <f t="array" ref="E79">_xlfn.XLOOKUP($D79,lookup!$A:$A,lookup!$B:$B)</f>
        <v/>
      </c>
      <c r="F79" s="1" t="n"/>
      <c r="G79" s="3" t="inlineStr">
        <is>
          <t>Guan Yin Bodhisattva’s Leaving Home (actual day)</t>
        </is>
      </c>
      <c r="H79" s="5">
        <f>IF($E79="","",IF(OR($E79=8,$E79=14,$E79=15,$E79=23,$E80=1,$E81=1),"Fast day",""))</f>
        <v/>
      </c>
      <c r="I79" s="5">
        <f>IFERROR(INDEX(lookup!$E:$E,MATCH($C79,lookup!$D:$D,0)),"")</f>
        <v/>
      </c>
      <c r="J79" s="5">
        <f>IF($I79="","",IF(OR($I79=1,$I79=5,$I79=9),IF($K79="","Long fast month","Long fast month (LEAP)"),""))</f>
        <v/>
      </c>
      <c r="K79" s="0">
        <f>IFERROR(IF(INDEX(lookup!$G:$G,MATCH($C79,lookup!$D:$D,0))="LEAP","LEAP MONTH - counts as month "&amp;$I79&amp;", flagged for review",""),"")</f>
        <v/>
      </c>
    </row>
    <row r="80" ht="15.75" customHeight="1" s="10">
      <c r="A80" s="6">
        <f>A79+1</f>
        <v/>
      </c>
      <c r="B80" s="1">
        <f>TEXT(A80,"ddd")</f>
        <v/>
      </c>
      <c r="C80" s="1">
        <f>IF($E80=1,"?",C79)</f>
        <v/>
      </c>
      <c r="D80" s="1" t="inlineStr">
        <is>
          <t>二十</t>
        </is>
      </c>
      <c r="E80" s="1">
        <f t="array" ref="E80">_xlfn.XLOOKUP($D80,lookup!$A:$A,lookup!$B:$B)</f>
        <v/>
      </c>
      <c r="F80" s="1" t="n"/>
      <c r="H80" s="5">
        <f>IF($E80="","",IF(OR($E80=8,$E80=14,$E80=15,$E80=23,$E81=1,$E82=1),"Fast day",""))</f>
        <v/>
      </c>
      <c r="I80" s="5">
        <f>IFERROR(INDEX(lookup!$E:$E,MATCH($C80,lookup!$D:$D,0)),"")</f>
        <v/>
      </c>
      <c r="J80" s="5">
        <f>IF($I80="","",IF(OR($I80=1,$I80=5,$I80=9),IF($K80="","Long fast month","Long fast month (LEAP)"),""))</f>
        <v/>
      </c>
      <c r="K80" s="0">
        <f>IFERROR(IF(INDEX(lookup!$G:$G,MATCH($C80,lookup!$D:$D,0))="LEAP","LEAP MONTH - counts as month "&amp;$I80&amp;", flagged for review",""),"")</f>
        <v/>
      </c>
    </row>
    <row r="81" ht="15.75" customHeight="1" s="10">
      <c r="A81" s="6">
        <f>A80+1</f>
        <v/>
      </c>
      <c r="B81" s="1">
        <f>TEXT(A81,"ddd")</f>
        <v/>
      </c>
      <c r="C81" s="1">
        <f>IF($E81=1,"?",C80)</f>
        <v/>
      </c>
      <c r="D81" s="1" t="inlineStr">
        <is>
          <t>廿一</t>
        </is>
      </c>
      <c r="E81" s="1">
        <f t="array" ref="E81">_xlfn.XLOOKUP($D81,lookup!$A:$A,lookup!$B:$B)</f>
        <v/>
      </c>
      <c r="F81" s="1" t="n"/>
      <c r="H81" s="5">
        <f>IF($E81="","",IF(OR($E81=8,$E81=14,$E81=15,$E81=23,$E82=1,$E83=1),"Fast day",""))</f>
        <v/>
      </c>
      <c r="I81" s="5">
        <f>IFERROR(INDEX(lookup!$E:$E,MATCH($C81,lookup!$D:$D,0)),"")</f>
        <v/>
      </c>
      <c r="J81" s="5">
        <f>IF($I81="","",IF(OR($I81=1,$I81=5,$I81=9),IF($K81="","Long fast month","Long fast month (LEAP)"),""))</f>
        <v/>
      </c>
      <c r="K81" s="0">
        <f>IFERROR(IF(INDEX(lookup!$G:$G,MATCH($C81,lookup!$D:$D,0))="LEAP","LEAP MONTH - counts as month "&amp;$I81&amp;", flagged for review",""),"")</f>
        <v/>
      </c>
    </row>
    <row r="82" ht="15.75" customHeight="1" s="10">
      <c r="A82" s="6">
        <f>A81+1</f>
        <v/>
      </c>
      <c r="B82" s="1">
        <f>TEXT(A82,"ddd")</f>
        <v/>
      </c>
      <c r="C82" s="1">
        <f>IF($E82=1,"?",C81)</f>
        <v/>
      </c>
      <c r="D82" s="1" t="inlineStr">
        <is>
          <t>廿二</t>
        </is>
      </c>
      <c r="E82" s="1">
        <f t="array" ref="E82">_xlfn.XLOOKUP($D82,lookup!$A:$A,lookup!$B:$B)</f>
        <v/>
      </c>
      <c r="F82" s="1" t="n"/>
      <c r="H82" s="5">
        <f>IF($E82="","",IF(OR($E82=8,$E82=14,$E82=15,$E82=23,$E83=1,$E84=1),"Fast day",""))</f>
        <v/>
      </c>
      <c r="I82" s="5">
        <f>IFERROR(INDEX(lookup!$E:$E,MATCH($C82,lookup!$D:$D,0)),"")</f>
        <v/>
      </c>
      <c r="J82" s="5">
        <f>IF($I82="","",IF(OR($I82=1,$I82=5,$I82=9),IF($K82="","Long fast month","Long fast month (LEAP)"),""))</f>
        <v/>
      </c>
      <c r="K82" s="0">
        <f>IFERROR(IF(INDEX(lookup!$G:$G,MATCH($C82,lookup!$D:$D,0))="LEAP","LEAP MONTH - counts as month "&amp;$I82&amp;", flagged for review",""),"")</f>
        <v/>
      </c>
    </row>
    <row r="83" ht="15.75" customHeight="1" s="10">
      <c r="A83" s="6">
        <f>A82+1</f>
        <v/>
      </c>
      <c r="B83" s="1">
        <f>TEXT(A83,"ddd")</f>
        <v/>
      </c>
      <c r="C83" s="1">
        <f>IF($E83=1,"?",C82)</f>
        <v/>
      </c>
      <c r="D83" s="1" t="inlineStr">
        <is>
          <t>廿三</t>
        </is>
      </c>
      <c r="E83" s="1">
        <f t="array" ref="E83">_xlfn.XLOOKUP($D83,lookup!$A:$A,lookup!$B:$B)</f>
        <v/>
      </c>
      <c r="F83" s="1" t="n"/>
      <c r="G83" s="3" t="inlineStr">
        <is>
          <t>Return to Standard Time at 2:00 AM</t>
        </is>
      </c>
      <c r="H83" s="5">
        <f>IF($E83="","",IF(OR($E83=8,$E83=14,$E83=15,$E83=23,$E84=1,$E85=1),"Fast day",""))</f>
        <v/>
      </c>
      <c r="I83" s="5">
        <f>IFERROR(INDEX(lookup!$E:$E,MATCH($C83,lookup!$D:$D,0)),"")</f>
        <v/>
      </c>
      <c r="J83" s="5">
        <f>IF($I83="","",IF(OR($I83=1,$I83=5,$I83=9),IF($K83="","Long fast month","Long fast month (LEAP)"),""))</f>
        <v/>
      </c>
      <c r="K83" s="0">
        <f>IFERROR(IF(INDEX(lookup!$G:$G,MATCH($C83,lookup!$D:$D,0))="LEAP","LEAP MONTH - counts as month "&amp;$I83&amp;", flagged for review",""),"")</f>
        <v/>
      </c>
    </row>
    <row r="84" ht="15.75" customHeight="1" s="10">
      <c r="A84" s="6">
        <f>A83+1</f>
        <v/>
      </c>
      <c r="B84" s="1">
        <f>TEXT(A84,"ddd")</f>
        <v/>
      </c>
      <c r="C84" s="1">
        <f>IF($E84=1,"?",C83)</f>
        <v/>
      </c>
      <c r="D84" s="1" t="inlineStr">
        <is>
          <t>廿四</t>
        </is>
      </c>
      <c r="E84" s="1">
        <f t="array" ref="E84">_xlfn.XLOOKUP($D84,lookup!$A:$A,lookup!$B:$B)</f>
        <v/>
      </c>
      <c r="F84" s="1" t="n"/>
      <c r="H84" s="5">
        <f>IF($E84="","",IF(OR($E84=8,$E84=14,$E84=15,$E84=23,$E85=1,$E86=1),"Fast day",""))</f>
        <v/>
      </c>
      <c r="I84" s="5">
        <f>IFERROR(INDEX(lookup!$E:$E,MATCH($C84,lookup!$D:$D,0)),"")</f>
        <v/>
      </c>
      <c r="J84" s="5">
        <f>IF($I84="","",IF(OR($I84=1,$I84=5,$I84=9),IF($K84="","Long fast month","Long fast month (LEAP)"),""))</f>
        <v/>
      </c>
      <c r="K84" s="0">
        <f>IFERROR(IF(INDEX(lookup!$G:$G,MATCH($C84,lookup!$D:$D,0))="LEAP","LEAP MONTH - counts as month "&amp;$I84&amp;", flagged for review",""),"")</f>
        <v/>
      </c>
    </row>
    <row r="85" ht="15.75" customHeight="1" s="10">
      <c r="A85" s="6">
        <f>A84+1</f>
        <v/>
      </c>
      <c r="B85" s="1">
        <f>TEXT(A85,"ddd")</f>
        <v/>
      </c>
      <c r="C85" s="1">
        <f>IF($E85=1,"?",C84)</f>
        <v/>
      </c>
      <c r="D85" s="1" t="inlineStr">
        <is>
          <t>廿五</t>
        </is>
      </c>
      <c r="E85" s="1">
        <f t="array" ref="E85">_xlfn.XLOOKUP($D85,lookup!$A:$A,lookup!$B:$B)</f>
        <v/>
      </c>
      <c r="F85" s="1" t="n"/>
      <c r="G85" s="3" t="inlineStr">
        <is>
          <t>Election Day (US)</t>
        </is>
      </c>
      <c r="H85" s="5">
        <f>IF($E85="","",IF(OR($E85=8,$E85=14,$E85=15,$E85=23,$E86=1,$E87=1),"Fast day",""))</f>
        <v/>
      </c>
      <c r="I85" s="5">
        <f>IFERROR(INDEX(lookup!$E:$E,MATCH($C85,lookup!$D:$D,0)),"")</f>
        <v/>
      </c>
      <c r="J85" s="5">
        <f>IF($I85="","",IF(OR($I85=1,$I85=5,$I85=9),IF($K85="","Long fast month","Long fast month (LEAP)"),""))</f>
        <v/>
      </c>
      <c r="K85" s="0">
        <f>IFERROR(IF(INDEX(lookup!$G:$G,MATCH($C85,lookup!$D:$D,0))="LEAP","LEAP MONTH - counts as month "&amp;$I85&amp;", flagged for review",""),"")</f>
        <v/>
      </c>
    </row>
    <row r="86" ht="15.75" customHeight="1" s="10">
      <c r="A86" s="6">
        <f>A85+1</f>
        <v/>
      </c>
      <c r="B86" s="1">
        <f>TEXT(A86,"ddd")</f>
        <v/>
      </c>
      <c r="C86" s="1">
        <f>IF($E86=1,"?",C85)</f>
        <v/>
      </c>
      <c r="D86" s="1" t="inlineStr">
        <is>
          <t>廿六</t>
        </is>
      </c>
      <c r="E86" s="1">
        <f t="array" ref="E86">_xlfn.XLOOKUP($D86,lookup!$A:$A,lookup!$B:$B)</f>
        <v/>
      </c>
      <c r="F86" s="1" t="n"/>
      <c r="H86" s="5">
        <f>IF($E86="","",IF(OR($E86=8,$E86=14,$E86=15,$E86=23,$E87=1,$E88=1),"Fast day",""))</f>
        <v/>
      </c>
      <c r="I86" s="5">
        <f>IFERROR(INDEX(lookup!$E:$E,MATCH($C86,lookup!$D:$D,0)),"")</f>
        <v/>
      </c>
      <c r="J86" s="5">
        <f>IF($I86="","",IF(OR($I86=1,$I86=5,$I86=9),IF($K86="","Long fast month","Long fast month (LEAP)"),""))</f>
        <v/>
      </c>
      <c r="K86" s="0">
        <f>IFERROR(IF(INDEX(lookup!$G:$G,MATCH($C86,lookup!$D:$D,0))="LEAP","LEAP MONTH - counts as month "&amp;$I86&amp;", flagged for review",""),"")</f>
        <v/>
      </c>
    </row>
    <row r="87" ht="15.75" customHeight="1" s="10">
      <c r="A87" s="6">
        <f>A86+1</f>
        <v/>
      </c>
      <c r="B87" s="1">
        <f>TEXT(A87,"ddd")</f>
        <v/>
      </c>
      <c r="C87" s="1">
        <f>IF($E87=1,"?",C86)</f>
        <v/>
      </c>
      <c r="D87" s="1" t="inlineStr">
        <is>
          <t>廿七</t>
        </is>
      </c>
      <c r="E87" s="1">
        <f t="array" ref="E87">_xlfn.XLOOKUP($D87,lookup!$A:$A,lookup!$B:$B)</f>
        <v/>
      </c>
      <c r="F87" s="1" t="n"/>
      <c r="H87" s="5">
        <f>IF($E87="","",IF(OR($E87=8,$E87=14,$E87=15,$E87=23,$E88=1,$E89=1),"Fast day",""))</f>
        <v/>
      </c>
      <c r="I87" s="5">
        <f>IFERROR(INDEX(lookup!$E:$E,MATCH($C87,lookup!$D:$D,0)),"")</f>
        <v/>
      </c>
      <c r="J87" s="5">
        <f>IF($I87="","",IF(OR($I87=1,$I87=5,$I87=9),IF($K87="","Long fast month","Long fast month (LEAP)"),""))</f>
        <v/>
      </c>
      <c r="K87" s="0">
        <f>IFERROR(IF(INDEX(lookup!$G:$G,MATCH($C87,lookup!$D:$D,0))="LEAP","LEAP MONTH - counts as month "&amp;$I87&amp;", flagged for review",""),"")</f>
        <v/>
      </c>
    </row>
    <row r="88" ht="15.75" customHeight="1" s="10">
      <c r="A88" s="6">
        <f>A87+1</f>
        <v/>
      </c>
      <c r="B88" s="1">
        <f>TEXT(A88,"ddd")</f>
        <v/>
      </c>
      <c r="C88" s="1">
        <f>IF($E88=1,"?",C87)</f>
        <v/>
      </c>
      <c r="D88" s="1" t="inlineStr">
        <is>
          <t>廿八</t>
        </is>
      </c>
      <c r="E88" s="1">
        <f t="array" ref="E88">_xlfn.XLOOKUP($D88,lookup!$A:$A,lookup!$B:$B)</f>
        <v/>
      </c>
      <c r="F88" s="1" t="n"/>
      <c r="H88" s="5">
        <f>IF($E88="","",IF(OR($E88=8,$E88=14,$E88=15,$E88=23,$E89=1,$E90=1),"Fast day",""))</f>
        <v/>
      </c>
      <c r="I88" s="5">
        <f>IFERROR(INDEX(lookup!$E:$E,MATCH($C88,lookup!$D:$D,0)),"")</f>
        <v/>
      </c>
      <c r="J88" s="5">
        <f>IF($I88="","",IF(OR($I88=1,$I88=5,$I88=9),IF($K88="","Long fast month","Long fast month (LEAP)"),""))</f>
        <v/>
      </c>
      <c r="K88" s="0">
        <f>IFERROR(IF(INDEX(lookup!$G:$G,MATCH($C88,lookup!$D:$D,0))="LEAP","LEAP MONTH - counts as month "&amp;$I88&amp;", flagged for review",""),"")</f>
        <v/>
      </c>
    </row>
    <row r="89" ht="15.75" customHeight="1" s="10">
      <c r="A89" s="6">
        <f>A88+1</f>
        <v/>
      </c>
      <c r="B89" s="1">
        <f>TEXT(A89,"ddd")</f>
        <v/>
      </c>
      <c r="C89" s="1">
        <f>IF($E89=1,"?",C88)</f>
        <v/>
      </c>
      <c r="D89" s="1" t="inlineStr">
        <is>
          <t>廿九</t>
        </is>
      </c>
      <c r="E89" s="1">
        <f t="array" ref="E89">_xlfn.XLOOKUP($D89,lookup!$A:$A,lookup!$B:$B)</f>
        <v/>
      </c>
      <c r="F89" s="1" t="n"/>
      <c r="H89" s="5">
        <f>IF($E89="","",IF(OR($E89=8,$E89=14,$E89=15,$E89=23,$E90=1,$E91=1),"Fast day",""))</f>
        <v/>
      </c>
      <c r="I89" s="5">
        <f>IFERROR(INDEX(lookup!$E:$E,MATCH($C89,lookup!$D:$D,0)),"")</f>
        <v/>
      </c>
      <c r="J89" s="5">
        <f>IF($I89="","",IF(OR($I89=1,$I89=5,$I89=9),IF($K89="","Long fast month","Long fast month (LEAP)"),""))</f>
        <v/>
      </c>
      <c r="K89" s="0">
        <f>IFERROR(IF(INDEX(lookup!$G:$G,MATCH($C89,lookup!$D:$D,0))="LEAP","LEAP MONTH - counts as month "&amp;$I89&amp;", flagged for review",""),"")</f>
        <v/>
      </c>
    </row>
    <row r="90" ht="15.75" customHeight="1" s="10">
      <c r="A90" s="6">
        <f>A89+1</f>
        <v/>
      </c>
      <c r="B90" s="1">
        <f>TEXT(A90,"ddd")</f>
        <v/>
      </c>
      <c r="C90" s="1">
        <f>IF($E90=1,"?",C89)</f>
        <v/>
      </c>
      <c r="D90" s="1" t="inlineStr">
        <is>
          <t>三 十</t>
        </is>
      </c>
      <c r="E90" s="1">
        <f t="array" ref="E90">_xlfn.XLOOKUP($D90,lookup!$A:$A,lookup!$B:$B)</f>
        <v/>
      </c>
      <c r="F90" s="1" t="n"/>
      <c r="G90" s="3" t="inlineStr">
        <is>
          <t>Medicine Master Buddha’s Birthday</t>
        </is>
      </c>
      <c r="H90" s="5">
        <f>IF($E90="","",IF(OR($E90=8,$E90=14,$E90=15,$E90=23,$E91=1,$E92=1),"Fast day",""))</f>
        <v/>
      </c>
      <c r="I90" s="5">
        <f>IFERROR(INDEX(lookup!$E:$E,MATCH($C90,lookup!$D:$D,0)),"")</f>
        <v/>
      </c>
      <c r="J90" s="5">
        <f>IF($I90="","",IF(OR($I90=1,$I90=5,$I90=9),IF($K90="","Long fast month","Long fast month (LEAP)"),""))</f>
        <v/>
      </c>
      <c r="K90" s="0">
        <f>IFERROR(IF(INDEX(lookup!$G:$G,MATCH($C90,lookup!$D:$D,0))="LEAP","LEAP MONTH - counts as month "&amp;$I90&amp;", flagged for review",""),"")</f>
        <v/>
      </c>
    </row>
    <row r="91" ht="15.75" customHeight="1" s="10">
      <c r="A91" s="6">
        <f>A90+1</f>
        <v/>
      </c>
      <c r="B91" s="1">
        <f>TEXT(A91,"ddd")</f>
        <v/>
      </c>
      <c r="C91" s="1" t="inlineStr">
        <is>
          <t>十月</t>
        </is>
      </c>
      <c r="D91" s="1" t="inlineStr">
        <is>
          <t>初一</t>
        </is>
      </c>
      <c r="E91" s="1">
        <f t="array" ref="E91">_xlfn.XLOOKUP($D91,lookup!$A:$A,lookup!$B:$B)</f>
        <v/>
      </c>
      <c r="F91" s="1" t="inlineStr">
        <is>
          <t>New</t>
        </is>
      </c>
      <c r="H91" s="5">
        <f>IF($E91="","",IF(OR($E91=8,$E91=14,$E91=15,$E91=23,$E92=1,$E93=1),"Fast day",""))</f>
        <v/>
      </c>
      <c r="I91" s="5">
        <f>IFERROR(INDEX(lookup!$E:$E,MATCH($C91,lookup!$D:$D,0)),"")</f>
        <v/>
      </c>
      <c r="J91" s="5">
        <f>IF($I91="","",IF(OR($I91=1,$I91=5,$I91=9),IF($K91="","Long fast month","Long fast month (LEAP)"),""))</f>
        <v/>
      </c>
      <c r="K91" s="0">
        <f>IFERROR(IF(INDEX(lookup!$G:$G,MATCH($C91,lookup!$D:$D,0))="LEAP","LEAP MONTH - counts as month "&amp;$I91&amp;", flagged for review",""),"")</f>
        <v/>
      </c>
    </row>
    <row r="92" ht="15.75" customHeight="1" s="10">
      <c r="A92" s="6">
        <f>A91+1</f>
        <v/>
      </c>
      <c r="B92" s="1">
        <f>TEXT(A92,"ddd")</f>
        <v/>
      </c>
      <c r="C92" s="1">
        <f>IF($E92=1,"?",C91)</f>
        <v/>
      </c>
      <c r="D92" s="1" t="inlineStr">
        <is>
          <t>初二</t>
        </is>
      </c>
      <c r="E92" s="1">
        <f t="array" ref="E92">_xlfn.XLOOKUP($D92,lookup!$A:$A,lookup!$B:$B)</f>
        <v/>
      </c>
      <c r="F92" s="1" t="n"/>
      <c r="H92" s="5">
        <f>IF($E92="","",IF(OR($E92=8,$E92=14,$E92=15,$E92=23,$E93=1,$E94=1),"Fast day",""))</f>
        <v/>
      </c>
      <c r="I92" s="5">
        <f>IFERROR(INDEX(lookup!$E:$E,MATCH($C92,lookup!$D:$D,0)),"")</f>
        <v/>
      </c>
      <c r="J92" s="5">
        <f>IF($I92="","",IF(OR($I92=1,$I92=5,$I92=9),IF($K92="","Long fast month","Long fast month (LEAP)"),""))</f>
        <v/>
      </c>
      <c r="K92" s="0">
        <f>IFERROR(IF(INDEX(lookup!$G:$G,MATCH($C92,lookup!$D:$D,0))="LEAP","LEAP MONTH - counts as month "&amp;$I92&amp;", flagged for review",""),"")</f>
        <v/>
      </c>
    </row>
    <row r="93" ht="15.75" customHeight="1" s="10">
      <c r="A93" s="6">
        <f>A92+1</f>
        <v/>
      </c>
      <c r="B93" s="1">
        <f>TEXT(A93,"ddd")</f>
        <v/>
      </c>
      <c r="C93" s="1">
        <f>IF($E93=1,"?",C92)</f>
        <v/>
      </c>
      <c r="D93" s="1" t="inlineStr">
        <is>
          <t>初三</t>
        </is>
      </c>
      <c r="E93" s="1">
        <f t="array" ref="E93">_xlfn.XLOOKUP($D93,lookup!$A:$A,lookup!$B:$B)</f>
        <v/>
      </c>
      <c r="F93" s="1" t="n"/>
      <c r="G93" s="3" t="inlineStr">
        <is>
          <t>DRBA Annual Sangha Meeting</t>
        </is>
      </c>
      <c r="H93" s="5">
        <f>IF($E93="","",IF(OR($E93=8,$E93=14,$E93=15,$E93=23,$E94=1,$E95=1),"Fast day",""))</f>
        <v/>
      </c>
      <c r="I93" s="5">
        <f>IFERROR(INDEX(lookup!$E:$E,MATCH($C93,lookup!$D:$D,0)),"")</f>
        <v/>
      </c>
      <c r="J93" s="5">
        <f>IF($I93="","",IF(OR($I93=1,$I93=5,$I93=9),IF($K93="","Long fast month","Long fast month (LEAP)"),""))</f>
        <v/>
      </c>
      <c r="K93" s="0">
        <f>IFERROR(IF(INDEX(lookup!$G:$G,MATCH($C93,lookup!$D:$D,0))="LEAP","LEAP MONTH - counts as month "&amp;$I93&amp;", flagged for review",""),"")</f>
        <v/>
      </c>
    </row>
    <row r="94" ht="15.75" customHeight="1" s="10">
      <c r="A94" s="6">
        <f>A93+1</f>
        <v/>
      </c>
      <c r="B94" s="1">
        <f>TEXT(A94,"ddd")</f>
        <v/>
      </c>
      <c r="C94" s="1">
        <f>IF($E94=1,"?",C93)</f>
        <v/>
      </c>
      <c r="D94" s="1" t="inlineStr">
        <is>
          <t>初四</t>
        </is>
      </c>
      <c r="E94" s="1">
        <f t="array" ref="E94">_xlfn.XLOOKUP($D94,lookup!$A:$A,lookup!$B:$B)</f>
        <v/>
      </c>
      <c r="F94" s="1" t="n"/>
      <c r="H94" s="5">
        <f>IF($E94="","",IF(OR($E94=8,$E94=14,$E94=15,$E94=23,$E95=1,$E96=1),"Fast day",""))</f>
        <v/>
      </c>
      <c r="I94" s="5">
        <f>IFERROR(INDEX(lookup!$E:$E,MATCH($C94,lookup!$D:$D,0)),"")</f>
        <v/>
      </c>
      <c r="J94" s="5">
        <f>IF($I94="","",IF(OR($I94=1,$I94=5,$I94=9),IF($K94="","Long fast month","Long fast month (LEAP)"),""))</f>
        <v/>
      </c>
      <c r="K94" s="0">
        <f>IFERROR(IF(INDEX(lookup!$G:$G,MATCH($C94,lookup!$D:$D,0))="LEAP","LEAP MONTH - counts as month "&amp;$I94&amp;", flagged for review",""),"")</f>
        <v/>
      </c>
    </row>
    <row r="95" ht="15.75" customHeight="1" s="10">
      <c r="A95" s="6">
        <f>A94+1</f>
        <v/>
      </c>
      <c r="B95" s="1">
        <f>TEXT(A95,"ddd")</f>
        <v/>
      </c>
      <c r="C95" s="1">
        <f>IF($E95=1,"?",C94)</f>
        <v/>
      </c>
      <c r="D95" s="1" t="inlineStr">
        <is>
          <t>初五</t>
        </is>
      </c>
      <c r="E95" s="1">
        <f t="array" ref="E95">_xlfn.XLOOKUP($D95,lookup!$A:$A,lookup!$B:$B)</f>
        <v/>
      </c>
      <c r="F95" s="1" t="n"/>
      <c r="G95" s="3" t="inlineStr">
        <is>
          <t>Venerable First Patriarch Bodhidharma’s Birthday</t>
        </is>
      </c>
      <c r="H95" s="5">
        <f>IF($E95="","",IF(OR($E95=8,$E95=14,$E95=15,$E95=23,$E96=1,$E97=1),"Fast day",""))</f>
        <v/>
      </c>
      <c r="I95" s="5">
        <f>IFERROR(INDEX(lookup!$E:$E,MATCH($C95,lookup!$D:$D,0)),"")</f>
        <v/>
      </c>
      <c r="J95" s="5">
        <f>IF($I95="","",IF(OR($I95=1,$I95=5,$I95=9),IF($K95="","Long fast month","Long fast month (LEAP)"),""))</f>
        <v/>
      </c>
      <c r="K95" s="0">
        <f>IFERROR(IF(INDEX(lookup!$G:$G,MATCH($C95,lookup!$D:$D,0))="LEAP","LEAP MONTH - counts as month "&amp;$I95&amp;", flagged for review",""),"")</f>
        <v/>
      </c>
    </row>
    <row r="96" ht="15.75" customHeight="1" s="10">
      <c r="A96" s="6">
        <f>A95+1</f>
        <v/>
      </c>
      <c r="B96" s="1">
        <f>TEXT(A96,"ddd")</f>
        <v/>
      </c>
      <c r="C96" s="1">
        <f>IF($E96=1,"?",C95)</f>
        <v/>
      </c>
      <c r="D96" s="1" t="inlineStr">
        <is>
          <t>初六</t>
        </is>
      </c>
      <c r="E96" s="1">
        <f t="array" ref="E96">_xlfn.XLOOKUP($D96,lookup!$A:$A,lookup!$B:$B)</f>
        <v/>
      </c>
      <c r="F96" s="1" t="n"/>
      <c r="H96" s="5">
        <f>IF($E96="","",IF(OR($E96=8,$E96=14,$E96=15,$E96=23,$E97=1,$E98=1),"Fast day",""))</f>
        <v/>
      </c>
      <c r="I96" s="5">
        <f>IFERROR(INDEX(lookup!$E:$E,MATCH($C96,lookup!$D:$D,0)),"")</f>
        <v/>
      </c>
      <c r="J96" s="5">
        <f>IF($I96="","",IF(OR($I96=1,$I96=5,$I96=9),IF($K96="","Long fast month","Long fast month (LEAP)"),""))</f>
        <v/>
      </c>
      <c r="K96" s="0">
        <f>IFERROR(IF(INDEX(lookup!$G:$G,MATCH($C96,lookup!$D:$D,0))="LEAP","LEAP MONTH - counts as month "&amp;$I96&amp;", flagged for review",""),"")</f>
        <v/>
      </c>
    </row>
    <row r="97" ht="15.75" customHeight="1" s="10">
      <c r="A97" s="6">
        <f>A96+1</f>
        <v/>
      </c>
      <c r="B97" s="1">
        <f>TEXT(A97,"ddd")</f>
        <v/>
      </c>
      <c r="C97" s="1">
        <f>IF($E97=1,"?",C96)</f>
        <v/>
      </c>
      <c r="D97" s="1" t="inlineStr">
        <is>
          <t>初七</t>
        </is>
      </c>
      <c r="E97" s="1">
        <f t="array" ref="E97">_xlfn.XLOOKUP($D97,lookup!$A:$A,lookup!$B:$B)</f>
        <v/>
      </c>
      <c r="F97" s="1" t="n"/>
      <c r="H97" s="5">
        <f>IF($E97="","",IF(OR($E97=8,$E97=14,$E97=15,$E97=23,$E98=1,$E99=1),"Fast day",""))</f>
        <v/>
      </c>
      <c r="I97" s="5">
        <f>IFERROR(INDEX(lookup!$E:$E,MATCH($C97,lookup!$D:$D,0)),"")</f>
        <v/>
      </c>
      <c r="J97" s="5">
        <f>IF($I97="","",IF(OR($I97=1,$I97=5,$I97=9),IF($K97="","Long fast month","Long fast month (LEAP)"),""))</f>
        <v/>
      </c>
      <c r="K97" s="0">
        <f>IFERROR(IF(INDEX(lookup!$G:$G,MATCH($C97,lookup!$D:$D,0))="LEAP","LEAP MONTH - counts as month "&amp;$I97&amp;", flagged for review",""),"")</f>
        <v/>
      </c>
    </row>
    <row r="98" ht="15.75" customHeight="1" s="10">
      <c r="A98" s="6">
        <f>A97+1</f>
        <v/>
      </c>
      <c r="B98" s="1">
        <f>TEXT(A98,"ddd")</f>
        <v/>
      </c>
      <c r="C98" s="1">
        <f>IF($E98=1,"?",C97)</f>
        <v/>
      </c>
      <c r="D98" s="1" t="inlineStr">
        <is>
          <t>初八</t>
        </is>
      </c>
      <c r="E98" s="1">
        <f t="array" ref="E98">_xlfn.XLOOKUP($D98,lookup!$A:$A,lookup!$B:$B)</f>
        <v/>
      </c>
      <c r="F98" s="1" t="n"/>
      <c r="H98" s="5">
        <f>IF($E98="","",IF(OR($E98=8,$E98=14,$E98=15,$E98=23,$E99=1,$E100=1),"Fast day",""))</f>
        <v/>
      </c>
      <c r="I98" s="5">
        <f>IFERROR(INDEX(lookup!$E:$E,MATCH($C98,lookup!$D:$D,0)),"")</f>
        <v/>
      </c>
      <c r="J98" s="5">
        <f>IF($I98="","",IF(OR($I98=1,$I98=5,$I98=9),IF($K98="","Long fast month","Long fast month (LEAP)"),""))</f>
        <v/>
      </c>
      <c r="K98" s="0">
        <f>IFERROR(IF(INDEX(lookup!$G:$G,MATCH($C98,lookup!$D:$D,0))="LEAP","LEAP MONTH - counts as month "&amp;$I98&amp;", flagged for review",""),"")</f>
        <v/>
      </c>
    </row>
    <row r="99" ht="15.75" customHeight="1" s="10">
      <c r="A99" s="6">
        <f>A98+1</f>
        <v/>
      </c>
      <c r="B99" s="1">
        <f>TEXT(A99,"ddd")</f>
        <v/>
      </c>
      <c r="C99" s="1">
        <f>IF($E99=1,"?",C98)</f>
        <v/>
      </c>
      <c r="D99" s="1" t="inlineStr">
        <is>
          <t>初九</t>
        </is>
      </c>
      <c r="E99" s="1">
        <f t="array" ref="E99">_xlfn.XLOOKUP($D99,lookup!$A:$A,lookup!$B:$B)</f>
        <v/>
      </c>
      <c r="F99" s="1" t="n"/>
      <c r="H99" s="5">
        <f>IF($E99="","",IF(OR($E99=8,$E99=14,$E99=15,$E99=23,$E100=1,$E101=1),"Fast day",""))</f>
        <v/>
      </c>
      <c r="I99" s="5">
        <f>IFERROR(INDEX(lookup!$E:$E,MATCH($C99,lookup!$D:$D,0)),"")</f>
        <v/>
      </c>
      <c r="J99" s="5">
        <f>IF($I99="","",IF(OR($I99=1,$I99=5,$I99=9),IF($K99="","Long fast month","Long fast month (LEAP)"),""))</f>
        <v/>
      </c>
      <c r="K99" s="0">
        <f>IFERROR(IF(INDEX(lookup!$G:$G,MATCH($C99,lookup!$D:$D,0))="LEAP","LEAP MONTH - counts as month "&amp;$I99&amp;", flagged for review",""),"")</f>
        <v/>
      </c>
    </row>
    <row r="100" ht="15.75" customHeight="1" s="10">
      <c r="A100" s="6">
        <f>A99+1</f>
        <v/>
      </c>
      <c r="B100" s="1">
        <f>TEXT(A100,"ddd")</f>
        <v/>
      </c>
      <c r="C100" s="1">
        <f>IF($E100=1,"?",C99)</f>
        <v/>
      </c>
      <c r="D100" s="1" t="inlineStr">
        <is>
          <t>初十</t>
        </is>
      </c>
      <c r="E100" s="1">
        <f t="array" ref="E100">_xlfn.XLOOKUP($D100,lookup!$A:$A,lookup!$B:$B)</f>
        <v/>
      </c>
      <c r="F100" s="1" t="n"/>
      <c r="G100" s="3" t="inlineStr">
        <is>
          <t>Monthly Memorial of Venerable Master Hua’s Entering Nirvana</t>
        </is>
      </c>
      <c r="H100" s="5">
        <f>IF($E100="","",IF(OR($E100=8,$E100=14,$E100=15,$E100=23,$E101=1,$E102=1),"Fast day",""))</f>
        <v/>
      </c>
      <c r="I100" s="5">
        <f>IFERROR(INDEX(lookup!$E:$E,MATCH($C100,lookup!$D:$D,0)),"")</f>
        <v/>
      </c>
      <c r="J100" s="5">
        <f>IF($I100="","",IF(OR($I100=1,$I100=5,$I100=9),IF($K100="","Long fast month","Long fast month (LEAP)"),""))</f>
        <v/>
      </c>
      <c r="K100" s="0">
        <f>IFERROR(IF(INDEX(lookup!$G:$G,MATCH($C100,lookup!$D:$D,0))="LEAP","LEAP MONTH - counts as month "&amp;$I100&amp;", flagged for review",""),"")</f>
        <v/>
      </c>
    </row>
    <row r="101" ht="15.75" customHeight="1" s="10">
      <c r="A101" s="6">
        <f>A100+1</f>
        <v/>
      </c>
      <c r="B101" s="1">
        <f>TEXT(A101,"ddd")</f>
        <v/>
      </c>
      <c r="C101" s="1">
        <f>IF($E101=1,"?",C100)</f>
        <v/>
      </c>
      <c r="D101" s="1" t="inlineStr">
        <is>
          <t>十一</t>
        </is>
      </c>
      <c r="E101" s="1">
        <f t="array" ref="E101">_xlfn.XLOOKUP($D101,lookup!$A:$A,lookup!$B:$B)</f>
        <v/>
      </c>
      <c r="F101" s="1" t="n"/>
      <c r="H101" s="5">
        <f>IF($E101="","",IF(OR($E101=8,$E101=14,$E101=15,$E101=23,$E102=1,$E103=1),"Fast day",""))</f>
        <v/>
      </c>
      <c r="I101" s="5">
        <f>IFERROR(INDEX(lookup!$E:$E,MATCH($C101,lookup!$D:$D,0)),"")</f>
        <v/>
      </c>
      <c r="J101" s="5">
        <f>IF($I101="","",IF(OR($I101=1,$I101=5,$I101=9),IF($K101="","Long fast month","Long fast month (LEAP)"),""))</f>
        <v/>
      </c>
      <c r="K101" s="0">
        <f>IFERROR(IF(INDEX(lookup!$G:$G,MATCH($C101,lookup!$D:$D,0))="LEAP","LEAP MONTH - counts as month "&amp;$I101&amp;", flagged for review",""),"")</f>
        <v/>
      </c>
    </row>
    <row r="102" ht="15.75" customHeight="1" s="10">
      <c r="A102" s="6">
        <f>A101+1</f>
        <v/>
      </c>
      <c r="B102" s="1">
        <f>TEXT(A102,"ddd")</f>
        <v/>
      </c>
      <c r="C102" s="1">
        <f>IF($E102=1,"?",C101)</f>
        <v/>
      </c>
      <c r="D102" s="1" t="inlineStr">
        <is>
          <t>十二</t>
        </is>
      </c>
      <c r="E102" s="1">
        <f t="array" ref="E102">_xlfn.XLOOKUP($D102,lookup!$A:$A,lookup!$B:$B)</f>
        <v/>
      </c>
      <c r="F102" s="1" t="n"/>
      <c r="H102" s="5">
        <f>IF($E102="","",IF(OR($E102=8,$E102=14,$E102=15,$E102=23,$E103=1,$E104=1),"Fast day",""))</f>
        <v/>
      </c>
      <c r="I102" s="5">
        <f>IFERROR(INDEX(lookup!$E:$E,MATCH($C102,lookup!$D:$D,0)),"")</f>
        <v/>
      </c>
      <c r="J102" s="5">
        <f>IF($I102="","",IF(OR($I102=1,$I102=5,$I102=9),IF($K102="","Long fast month","Long fast month (LEAP)"),""))</f>
        <v/>
      </c>
      <c r="K102" s="0">
        <f>IFERROR(IF(INDEX(lookup!$G:$G,MATCH($C102,lookup!$D:$D,0))="LEAP","LEAP MONTH - counts as month "&amp;$I102&amp;", flagged for review",""),"")</f>
        <v/>
      </c>
    </row>
    <row r="103" ht="15.75" customHeight="1" s="10">
      <c r="A103" s="6">
        <f>A102+1</f>
        <v/>
      </c>
      <c r="B103" s="1">
        <f>TEXT(A103,"ddd")</f>
        <v/>
      </c>
      <c r="C103" s="1">
        <f>IF($E103=1,"?",C102)</f>
        <v/>
      </c>
      <c r="D103" s="1" t="inlineStr">
        <is>
          <t>十三</t>
        </is>
      </c>
      <c r="E103" s="1">
        <f t="array" ref="E103">_xlfn.XLOOKUP($D103,lookup!$A:$A,lookup!$B:$B)</f>
        <v/>
      </c>
      <c r="F103" s="1" t="n"/>
      <c r="H103" s="5">
        <f>IF($E103="","",IF(OR($E103=8,$E103=14,$E103=15,$E103=23,$E104=1,$E105=1),"Fast day",""))</f>
        <v/>
      </c>
      <c r="I103" s="5">
        <f>IFERROR(INDEX(lookup!$E:$E,MATCH($C103,lookup!$D:$D,0)),"")</f>
        <v/>
      </c>
      <c r="J103" s="5">
        <f>IF($I103="","",IF(OR($I103=1,$I103=5,$I103=9),IF($K103="","Long fast month","Long fast month (LEAP)"),""))</f>
        <v/>
      </c>
      <c r="K103" s="0">
        <f>IFERROR(IF(INDEX(lookup!$G:$G,MATCH($C103,lookup!$D:$D,0))="LEAP","LEAP MONTH - counts as month "&amp;$I103&amp;", flagged for review",""),"")</f>
        <v/>
      </c>
    </row>
    <row r="104" ht="15.75" customHeight="1" s="10">
      <c r="A104" s="6">
        <f>A103+1</f>
        <v/>
      </c>
      <c r="B104" s="1">
        <f>TEXT(A104,"ddd")</f>
        <v/>
      </c>
      <c r="C104" s="1">
        <f>IF($E104=1,"?",C103)</f>
        <v/>
      </c>
      <c r="D104" s="1" t="inlineStr">
        <is>
          <t>十四</t>
        </is>
      </c>
      <c r="E104" s="1">
        <f t="array" ref="E104">_xlfn.XLOOKUP($D104,lookup!$A:$A,lookup!$B:$B)</f>
        <v/>
      </c>
      <c r="F104" s="1" t="n"/>
      <c r="H104" s="5">
        <f>IF($E104="","",IF(OR($E104=8,$E104=14,$E104=15,$E104=23,$E105=1,$E106=1),"Fast day",""))</f>
        <v/>
      </c>
      <c r="I104" s="5">
        <f>IFERROR(INDEX(lookup!$E:$E,MATCH($C104,lookup!$D:$D,0)),"")</f>
        <v/>
      </c>
      <c r="J104" s="5">
        <f>IF($I104="","",IF(OR($I104=1,$I104=5,$I104=9),IF($K104="","Long fast month","Long fast month (LEAP)"),""))</f>
        <v/>
      </c>
      <c r="K104" s="0">
        <f>IFERROR(IF(INDEX(lookup!$G:$G,MATCH($C104,lookup!$D:$D,0))="LEAP","LEAP MONTH - counts as month "&amp;$I104&amp;", flagged for review",""),"")</f>
        <v/>
      </c>
    </row>
    <row r="105" ht="15.75" customHeight="1" s="10">
      <c r="A105" s="6">
        <f>A104+1</f>
        <v/>
      </c>
      <c r="B105" s="1">
        <f>TEXT(A105,"ddd")</f>
        <v/>
      </c>
      <c r="C105" s="1" t="inlineStr">
        <is>
          <t>十月</t>
        </is>
      </c>
      <c r="D105" s="1" t="inlineStr">
        <is>
          <t>十五</t>
        </is>
      </c>
      <c r="E105" s="1">
        <f t="array" ref="E105">_xlfn.XLOOKUP($D105,lookup!$A:$A,lookup!$B:$B)</f>
        <v/>
      </c>
      <c r="F105" s="1" t="inlineStr">
        <is>
          <t>Full</t>
        </is>
      </c>
      <c r="H105" s="5">
        <f>IF($E105="","",IF(OR($E105=8,$E105=14,$E105=15,$E105=23,$E106=1,$E107=1),"Fast day",""))</f>
        <v/>
      </c>
      <c r="I105" s="5">
        <f>IFERROR(INDEX(lookup!$E:$E,MATCH($C105,lookup!$D:$D,0)),"")</f>
        <v/>
      </c>
      <c r="J105" s="5">
        <f>IF($I105="","",IF(OR($I105=1,$I105=5,$I105=9),IF($K105="","Long fast month","Long fast month (LEAP)"),""))</f>
        <v/>
      </c>
      <c r="K105" s="0">
        <f>IFERROR(IF(INDEX(lookup!$G:$G,MATCH($C105,lookup!$D:$D,0))="LEAP","LEAP MONTH - counts as month "&amp;$I105&amp;", flagged for review",""),"")</f>
        <v/>
      </c>
    </row>
    <row r="106" ht="15.75" customHeight="1" s="10">
      <c r="A106" s="6">
        <f>A105+1</f>
        <v/>
      </c>
      <c r="B106" s="1">
        <f>TEXT(A106,"ddd")</f>
        <v/>
      </c>
      <c r="C106" s="1">
        <f>IF($E106=1,"?",C105)</f>
        <v/>
      </c>
      <c r="D106" s="1" t="inlineStr">
        <is>
          <t>十六</t>
        </is>
      </c>
      <c r="E106" s="1">
        <f t="array" ref="E106">_xlfn.XLOOKUP($D106,lookup!$A:$A,lookup!$B:$B)</f>
        <v/>
      </c>
      <c r="F106" s="1" t="n"/>
      <c r="H106" s="5">
        <f>IF($E106="","",IF(OR($E106=8,$E106=14,$E106=15,$E106=23,$E107=1,$E108=1),"Fast day",""))</f>
        <v/>
      </c>
      <c r="I106" s="5">
        <f>IFERROR(INDEX(lookup!$E:$E,MATCH($C106,lookup!$D:$D,0)),"")</f>
        <v/>
      </c>
      <c r="J106" s="5">
        <f>IF($I106="","",IF(OR($I106=1,$I106=5,$I106=9),IF($K106="","Long fast month","Long fast month (LEAP)"),""))</f>
        <v/>
      </c>
      <c r="K106" s="0">
        <f>IFERROR(IF(INDEX(lookup!$G:$G,MATCH($C106,lookup!$D:$D,0))="LEAP","LEAP MONTH - counts as month "&amp;$I106&amp;", flagged for review",""),"")</f>
        <v/>
      </c>
    </row>
    <row r="107" ht="15.75" customHeight="1" s="10">
      <c r="A107" s="6">
        <f>A106+1</f>
        <v/>
      </c>
      <c r="B107" s="1">
        <f>TEXT(A107,"ddd")</f>
        <v/>
      </c>
      <c r="C107" s="1">
        <f>IF($E107=1,"?",C106)</f>
        <v/>
      </c>
      <c r="D107" s="1" t="inlineStr">
        <is>
          <t>十七</t>
        </is>
      </c>
      <c r="E107" s="1">
        <f t="array" ref="E107">_xlfn.XLOOKUP($D107,lookup!$A:$A,lookup!$B:$B)</f>
        <v/>
      </c>
      <c r="F107" s="1" t="n"/>
      <c r="H107" s="5">
        <f>IF($E107="","",IF(OR($E107=8,$E107=14,$E107=15,$E107=23,$E108=1,$E109=1),"Fast day",""))</f>
        <v/>
      </c>
      <c r="I107" s="5">
        <f>IFERROR(INDEX(lookup!$E:$E,MATCH($C107,lookup!$D:$D,0)),"")</f>
        <v/>
      </c>
      <c r="J107" s="5">
        <f>IF($I107="","",IF(OR($I107=1,$I107=5,$I107=9),IF($K107="","Long fast month","Long fast month (LEAP)"),""))</f>
        <v/>
      </c>
      <c r="K107" s="0">
        <f>IFERROR(IF(INDEX(lookup!$G:$G,MATCH($C107,lookup!$D:$D,0))="LEAP","LEAP MONTH - counts as month "&amp;$I107&amp;", flagged for review",""),"")</f>
        <v/>
      </c>
    </row>
    <row r="108" ht="15.75" customHeight="1" s="10">
      <c r="A108" s="6">
        <f>A107+1</f>
        <v/>
      </c>
      <c r="B108" s="1">
        <f>TEXT(A108,"ddd")</f>
        <v/>
      </c>
      <c r="C108" s="1">
        <f>IF($E108=1,"?",C107)</f>
        <v/>
      </c>
      <c r="D108" s="1" t="inlineStr">
        <is>
          <t>十八</t>
        </is>
      </c>
      <c r="E108" s="1">
        <f t="array" ref="E108">_xlfn.XLOOKUP($D108,lookup!$A:$A,lookup!$B:$B)</f>
        <v/>
      </c>
      <c r="F108" s="1" t="n"/>
      <c r="G108" s="3" t="inlineStr">
        <is>
          <t>Thanksgiving Day (no school)</t>
        </is>
      </c>
      <c r="H108" s="5">
        <f>IF($E108="","",IF(OR($E108=8,$E108=14,$E108=15,$E108=23,$E109=1,$E110=1),"Fast day",""))</f>
        <v/>
      </c>
      <c r="I108" s="5">
        <f>IFERROR(INDEX(lookup!$E:$E,MATCH($C108,lookup!$D:$D,0)),"")</f>
        <v/>
      </c>
      <c r="J108" s="5">
        <f>IF($I108="","",IF(OR($I108=1,$I108=5,$I108=9),IF($K108="","Long fast month","Long fast month (LEAP)"),""))</f>
        <v/>
      </c>
      <c r="K108" s="0">
        <f>IFERROR(IF(INDEX(lookup!$G:$G,MATCH($C108,lookup!$D:$D,0))="LEAP","LEAP MONTH - counts as month "&amp;$I108&amp;", flagged for review",""),"")</f>
        <v/>
      </c>
    </row>
    <row r="109" ht="15.75" customHeight="1" s="10">
      <c r="A109" s="6">
        <f>A108+1</f>
        <v/>
      </c>
      <c r="B109" s="1">
        <f>TEXT(A109,"ddd")</f>
        <v/>
      </c>
      <c r="C109" s="1">
        <f>IF($E109=1,"?",C108)</f>
        <v/>
      </c>
      <c r="D109" s="1" t="inlineStr">
        <is>
          <t>十九</t>
        </is>
      </c>
      <c r="E109" s="1">
        <f t="array" ref="E109">_xlfn.XLOOKUP($D109,lookup!$A:$A,lookup!$B:$B)</f>
        <v/>
      </c>
      <c r="F109" s="1" t="n"/>
      <c r="H109" s="5">
        <f>IF($E109="","",IF(OR($E109=8,$E109=14,$E109=15,$E109=23,$E110=1,$E111=1),"Fast day",""))</f>
        <v/>
      </c>
      <c r="I109" s="5">
        <f>IFERROR(INDEX(lookup!$E:$E,MATCH($C109,lookup!$D:$D,0)),"")</f>
        <v/>
      </c>
      <c r="J109" s="5">
        <f>IF($I109="","",IF(OR($I109=1,$I109=5,$I109=9),IF($K109="","Long fast month","Long fast month (LEAP)"),""))</f>
        <v/>
      </c>
      <c r="K109" s="0">
        <f>IFERROR(IF(INDEX(lookup!$G:$G,MATCH($C109,lookup!$D:$D,0))="LEAP","LEAP MONTH - counts as month "&amp;$I109&amp;", flagged for review",""),"")</f>
        <v/>
      </c>
    </row>
    <row r="110" ht="15.75" customHeight="1" s="10">
      <c r="A110" s="6">
        <f>A109+1</f>
        <v/>
      </c>
      <c r="B110" s="1">
        <f>TEXT(A110,"ddd")</f>
        <v/>
      </c>
      <c r="C110" s="1">
        <f>IF($E110=1,"?",C109)</f>
        <v/>
      </c>
      <c r="D110" s="1" t="inlineStr">
        <is>
          <t>二十</t>
        </is>
      </c>
      <c r="E110" s="1">
        <f t="array" ref="E110">_xlfn.XLOOKUP($D110,lookup!$A:$A,lookup!$B:$B)</f>
        <v/>
      </c>
      <c r="F110" s="1" t="n"/>
      <c r="H110" s="5">
        <f>IF($E110="","",IF(OR($E110=8,$E110=14,$E110=15,$E110=23,$E111=1,$E112=1),"Fast day",""))</f>
        <v/>
      </c>
      <c r="I110" s="5">
        <f>IFERROR(INDEX(lookup!$E:$E,MATCH($C110,lookup!$D:$D,0)),"")</f>
        <v/>
      </c>
      <c r="J110" s="5">
        <f>IF($I110="","",IF(OR($I110=1,$I110=5,$I110=9),IF($K110="","Long fast month","Long fast month (LEAP)"),""))</f>
        <v/>
      </c>
      <c r="K110" s="0">
        <f>IFERROR(IF(INDEX(lookup!$G:$G,MATCH($C110,lookup!$D:$D,0))="LEAP","LEAP MONTH - counts as month "&amp;$I110&amp;", flagged for review",""),"")</f>
        <v/>
      </c>
    </row>
    <row r="111" ht="15.75" customHeight="1" s="10">
      <c r="A111" s="6">
        <f>A110+1</f>
        <v/>
      </c>
      <c r="B111" s="1">
        <f>TEXT(A111,"ddd")</f>
        <v/>
      </c>
      <c r="C111" s="1">
        <f>IF($E111=1,"?",C110)</f>
        <v/>
      </c>
      <c r="D111" s="1" t="inlineStr">
        <is>
          <t>廿一</t>
        </is>
      </c>
      <c r="E111" s="1">
        <f t="array" ref="E111">_xlfn.XLOOKUP($D111,lookup!$A:$A,lookup!$B:$B)</f>
        <v/>
      </c>
      <c r="F111" s="1" t="n"/>
      <c r="H111" s="5">
        <f>IF($E111="","",IF(OR($E111=8,$E111=14,$E111=15,$E111=23,$E112=1,$E113=1),"Fast day",""))</f>
        <v/>
      </c>
      <c r="I111" s="5">
        <f>IFERROR(INDEX(lookup!$E:$E,MATCH($C111,lookup!$D:$D,0)),"")</f>
        <v/>
      </c>
      <c r="J111" s="5">
        <f>IF($I111="","",IF(OR($I111=1,$I111=5,$I111=9),IF($K111="","Long fast month","Long fast month (LEAP)"),""))</f>
        <v/>
      </c>
      <c r="K111" s="0">
        <f>IFERROR(IF(INDEX(lookup!$G:$G,MATCH($C111,lookup!$D:$D,0))="LEAP","LEAP MONTH - counts as month "&amp;$I111&amp;", flagged for review",""),"")</f>
        <v/>
      </c>
    </row>
    <row r="112" ht="15.75" customHeight="1" s="10">
      <c r="A112" s="6">
        <f>A111+1</f>
        <v/>
      </c>
      <c r="B112" s="1">
        <f>TEXT(A112,"ddd")</f>
        <v/>
      </c>
      <c r="C112" s="1">
        <f>IF($E112=1,"?",C111)</f>
        <v/>
      </c>
      <c r="D112" s="1" t="inlineStr">
        <is>
          <t>廿二</t>
        </is>
      </c>
      <c r="E112" s="1">
        <f t="array" ref="E112">_xlfn.XLOOKUP($D112,lookup!$A:$A,lookup!$B:$B)</f>
        <v/>
      </c>
      <c r="F112" s="1" t="n"/>
      <c r="H112" s="5">
        <f>IF($E112="","",IF(OR($E112=8,$E112=14,$E112=15,$E112=23,$E113=1,$E114=1),"Fast day",""))</f>
        <v/>
      </c>
      <c r="I112" s="5">
        <f>IFERROR(INDEX(lookup!$E:$E,MATCH($C112,lookup!$D:$D,0)),"")</f>
        <v/>
      </c>
      <c r="J112" s="5">
        <f>IF($I112="","",IF(OR($I112=1,$I112=5,$I112=9),IF($K112="","Long fast month","Long fast month (LEAP)"),""))</f>
        <v/>
      </c>
      <c r="K112" s="0">
        <f>IFERROR(IF(INDEX(lookup!$G:$G,MATCH($C112,lookup!$D:$D,0))="LEAP","LEAP MONTH - counts as month "&amp;$I112&amp;", flagged for review",""),"")</f>
        <v/>
      </c>
    </row>
    <row r="113" ht="15.75" customHeight="1" s="10">
      <c r="A113" s="6">
        <f>A112+1</f>
        <v/>
      </c>
      <c r="B113" s="1">
        <f>TEXT(A113,"ddd")</f>
        <v/>
      </c>
      <c r="C113" s="1">
        <f>IF($E113=1,"?",C112)</f>
        <v/>
      </c>
      <c r="D113" s="1" t="inlineStr">
        <is>
          <t>廿三</t>
        </is>
      </c>
      <c r="E113" s="1">
        <f t="array" ref="E113">_xlfn.XLOOKUP($D113,lookup!$A:$A,lookup!$B:$B)</f>
        <v/>
      </c>
      <c r="F113" s="1" t="n"/>
      <c r="H113" s="5">
        <f>IF($E113="","",IF(OR($E113=8,$E113=14,$E113=15,$E113=23,$E114=1,$E115=1),"Fast day",""))</f>
        <v/>
      </c>
      <c r="I113" s="5">
        <f>IFERROR(INDEX(lookup!$E:$E,MATCH($C113,lookup!$D:$D,0)),"")</f>
        <v/>
      </c>
      <c r="J113" s="5">
        <f>IF($I113="","",IF(OR($I113=1,$I113=5,$I113=9),IF($K113="","Long fast month","Long fast month (LEAP)"),""))</f>
        <v/>
      </c>
      <c r="K113" s="0">
        <f>IFERROR(IF(INDEX(lookup!$G:$G,MATCH($C113,lookup!$D:$D,0))="LEAP","LEAP MONTH - counts as month "&amp;$I113&amp;", flagged for review",""),"")</f>
        <v/>
      </c>
    </row>
    <row r="114" ht="15.75" customHeight="1" s="10">
      <c r="A114" s="6">
        <f>A113+1</f>
        <v/>
      </c>
      <c r="B114" s="1">
        <f>TEXT(A114,"ddd")</f>
        <v/>
      </c>
      <c r="C114" s="1">
        <f>IF($E114=1,"?",C113)</f>
        <v/>
      </c>
      <c r="D114" s="1" t="inlineStr">
        <is>
          <t>廿四</t>
        </is>
      </c>
      <c r="E114" s="1">
        <f t="array" ref="E114">_xlfn.XLOOKUP($D114,lookup!$A:$A,lookup!$B:$B)</f>
        <v/>
      </c>
      <c r="F114" s="1" t="n"/>
      <c r="H114" s="5">
        <f>IF($E114="","",IF(OR($E114=8,$E114=14,$E114=15,$E114=23,$E115=1,$E116=1),"Fast day",""))</f>
        <v/>
      </c>
      <c r="I114" s="5">
        <f>IFERROR(INDEX(lookup!$E:$E,MATCH($C114,lookup!$D:$D,0)),"")</f>
        <v/>
      </c>
      <c r="J114" s="5">
        <f>IF($I114="","",IF(OR($I114=1,$I114=5,$I114=9),IF($K114="","Long fast month","Long fast month (LEAP)"),""))</f>
        <v/>
      </c>
      <c r="K114" s="0">
        <f>IFERROR(IF(INDEX(lookup!$G:$G,MATCH($C114,lookup!$D:$D,0))="LEAP","LEAP MONTH - counts as month "&amp;$I114&amp;", flagged for review",""),"")</f>
        <v/>
      </c>
    </row>
    <row r="115" ht="15.75" customHeight="1" s="10">
      <c r="A115" s="6">
        <f>A114+1</f>
        <v/>
      </c>
      <c r="B115" s="1">
        <f>TEXT(A115,"ddd")</f>
        <v/>
      </c>
      <c r="C115" s="1">
        <f>IF($E115=1,"?",C114)</f>
        <v/>
      </c>
      <c r="D115" s="1" t="inlineStr">
        <is>
          <t>廿五</t>
        </is>
      </c>
      <c r="E115" s="1">
        <f t="array" ref="E115">_xlfn.XLOOKUP($D115,lookup!$A:$A,lookup!$B:$B)</f>
        <v/>
      </c>
      <c r="F115" s="1" t="n"/>
      <c r="H115" s="5">
        <f>IF($E115="","",IF(OR($E115=8,$E115=14,$E115=15,$E115=23,$E116=1,$E117=1),"Fast day",""))</f>
        <v/>
      </c>
      <c r="I115" s="5">
        <f>IFERROR(INDEX(lookup!$E:$E,MATCH($C115,lookup!$D:$D,0)),"")</f>
        <v/>
      </c>
      <c r="J115" s="5">
        <f>IF($I115="","",IF(OR($I115=1,$I115=5,$I115=9),IF($K115="","Long fast month","Long fast month (LEAP)"),""))</f>
        <v/>
      </c>
      <c r="K115" s="0">
        <f>IFERROR(IF(INDEX(lookup!$G:$G,MATCH($C115,lookup!$D:$D,0))="LEAP","LEAP MONTH - counts as month "&amp;$I115&amp;", flagged for review",""),"")</f>
        <v/>
      </c>
    </row>
    <row r="116" ht="15.75" customHeight="1" s="10">
      <c r="A116" s="6">
        <f>A115+1</f>
        <v/>
      </c>
      <c r="B116" s="1">
        <f>TEXT(A116,"ddd")</f>
        <v/>
      </c>
      <c r="C116" s="1">
        <f>IF($E116=1,"?",C115)</f>
        <v/>
      </c>
      <c r="D116" s="1" t="inlineStr">
        <is>
          <t>廿六</t>
        </is>
      </c>
      <c r="E116" s="1">
        <f t="array" ref="E116">_xlfn.XLOOKUP($D116,lookup!$A:$A,lookup!$B:$B)</f>
        <v/>
      </c>
      <c r="F116" s="1" t="n"/>
      <c r="H116" s="5">
        <f>IF($E116="","",IF(OR($E116=8,$E116=14,$E116=15,$E116=23,$E117=1,$E118=1),"Fast day",""))</f>
        <v/>
      </c>
      <c r="I116" s="5">
        <f>IFERROR(INDEX(lookup!$E:$E,MATCH($C116,lookup!$D:$D,0)),"")</f>
        <v/>
      </c>
      <c r="J116" s="5">
        <f>IF($I116="","",IF(OR($I116=1,$I116=5,$I116=9),IF($K116="","Long fast month","Long fast month (LEAP)"),""))</f>
        <v/>
      </c>
      <c r="K116" s="0">
        <f>IFERROR(IF(INDEX(lookup!$G:$G,MATCH($C116,lookup!$D:$D,0))="LEAP","LEAP MONTH - counts as month "&amp;$I116&amp;", flagged for review",""),"")</f>
        <v/>
      </c>
    </row>
    <row r="117" ht="15.75" customHeight="1" s="10">
      <c r="A117" s="6">
        <f>A116+1</f>
        <v/>
      </c>
      <c r="B117" s="1">
        <f>TEXT(A117,"ddd")</f>
        <v/>
      </c>
      <c r="C117" s="1">
        <f>IF($E117=1,"?",C116)</f>
        <v/>
      </c>
      <c r="D117" s="1" t="inlineStr">
        <is>
          <t>廿七</t>
        </is>
      </c>
      <c r="E117" s="1">
        <f t="array" ref="E117">_xlfn.XLOOKUP($D117,lookup!$A:$A,lookup!$B:$B)</f>
        <v/>
      </c>
      <c r="F117" s="1" t="n"/>
      <c r="H117" s="5">
        <f>IF($E117="","",IF(OR($E117=8,$E117=14,$E117=15,$E117=23,$E118=1,$E119=1),"Fast day",""))</f>
        <v/>
      </c>
      <c r="I117" s="5">
        <f>IFERROR(INDEX(lookup!$E:$E,MATCH($C117,lookup!$D:$D,0)),"")</f>
        <v/>
      </c>
      <c r="J117" s="5">
        <f>IF($I117="","",IF(OR($I117=1,$I117=5,$I117=9),IF($K117="","Long fast month","Long fast month (LEAP)"),""))</f>
        <v/>
      </c>
      <c r="K117" s="0">
        <f>IFERROR(IF(INDEX(lookup!$G:$G,MATCH($C117,lookup!$D:$D,0))="LEAP","LEAP MONTH - counts as month "&amp;$I117&amp;", flagged for review",""),"")</f>
        <v/>
      </c>
    </row>
    <row r="118" ht="15.75" customHeight="1" s="10">
      <c r="A118" s="6">
        <f>A117+1</f>
        <v/>
      </c>
      <c r="B118" s="1">
        <f>TEXT(A118,"ddd")</f>
        <v/>
      </c>
      <c r="C118" s="1">
        <f>IF($E118=1,"?",C117)</f>
        <v/>
      </c>
      <c r="D118" s="1" t="inlineStr">
        <is>
          <t>廿八</t>
        </is>
      </c>
      <c r="E118" s="1">
        <f t="array" ref="E118">_xlfn.XLOOKUP($D118,lookup!$A:$A,lookup!$B:$B)</f>
        <v/>
      </c>
      <c r="F118" s="1" t="n"/>
      <c r="H118" s="5">
        <f>IF($E118="","",IF(OR($E118=8,$E118=14,$E118=15,$E118=23,$E119=1,$E120=1),"Fast day",""))</f>
        <v/>
      </c>
      <c r="I118" s="5">
        <f>IFERROR(INDEX(lookup!$E:$E,MATCH($C118,lookup!$D:$D,0)),"")</f>
        <v/>
      </c>
      <c r="J118" s="5">
        <f>IF($I118="","",IF(OR($I118=1,$I118=5,$I118=9),IF($K118="","Long fast month","Long fast month (LEAP)"),""))</f>
        <v/>
      </c>
      <c r="K118" s="0">
        <f>IFERROR(IF(INDEX(lookup!$G:$G,MATCH($C118,lookup!$D:$D,0))="LEAP","LEAP MONTH - counts as month "&amp;$I118&amp;", flagged for review",""),"")</f>
        <v/>
      </c>
    </row>
    <row r="119" ht="15.75" customHeight="1" s="10">
      <c r="A119" s="6">
        <f>A118+1</f>
        <v/>
      </c>
      <c r="B119" s="1">
        <f>TEXT(A119,"ddd")</f>
        <v/>
      </c>
      <c r="C119" s="1">
        <f>IF($E119=1,"?",C118)</f>
        <v/>
      </c>
      <c r="D119" s="1" t="inlineStr">
        <is>
          <t>廿九</t>
        </is>
      </c>
      <c r="E119" s="1">
        <f t="array" ref="E119">_xlfn.XLOOKUP($D119,lookup!$A:$A,lookup!$B:$B)</f>
        <v/>
      </c>
      <c r="F119" s="1" t="n"/>
      <c r="H119" s="5">
        <f>IF($E119="","",IF(OR($E119=8,$E119=14,$E119=15,$E119=23,$E120=1,$E121=1),"Fast day",""))</f>
        <v/>
      </c>
      <c r="I119" s="5">
        <f>IFERROR(INDEX(lookup!$E:$E,MATCH($C119,lookup!$D:$D,0)),"")</f>
        <v/>
      </c>
      <c r="J119" s="5">
        <f>IF($I119="","",IF(OR($I119=1,$I119=5,$I119=9),IF($K119="","Long fast month","Long fast month (LEAP)"),""))</f>
        <v/>
      </c>
      <c r="K119" s="0">
        <f>IFERROR(IF(INDEX(lookup!$G:$G,MATCH($C119,lookup!$D:$D,0))="LEAP","LEAP MONTH - counts as month "&amp;$I119&amp;", flagged for review",""),"")</f>
        <v/>
      </c>
    </row>
    <row r="120" ht="15.75" customHeight="1" s="10">
      <c r="A120" s="6">
        <f>A119+1</f>
        <v/>
      </c>
      <c r="B120" s="1">
        <f>TEXT(A120,"ddd")</f>
        <v/>
      </c>
      <c r="C120" s="1">
        <f>IF($E120=1,"?",C119)</f>
        <v/>
      </c>
      <c r="D120" s="1" t="inlineStr">
        <is>
          <t>三十</t>
        </is>
      </c>
      <c r="E120" s="1">
        <f t="array" ref="E120">_xlfn.XLOOKUP($D120,lookup!$A:$A,lookup!$B:$B)</f>
        <v/>
      </c>
      <c r="F120" s="1" t="n"/>
      <c r="H120" s="5">
        <f>IF($E120="","",IF(OR($E120=8,$E120=14,$E120=15,$E120=23,$E121=1,$E122=1),"Fast day",""))</f>
        <v/>
      </c>
      <c r="I120" s="5">
        <f>IFERROR(INDEX(lookup!$E:$E,MATCH($C120,lookup!$D:$D,0)),"")</f>
        <v/>
      </c>
      <c r="J120" s="5">
        <f>IF($I120="","",IF(OR($I120=1,$I120=5,$I120=9),IF($K120="","Long fast month","Long fast month (LEAP)"),""))</f>
        <v/>
      </c>
      <c r="K120" s="0">
        <f>IFERROR(IF(INDEX(lookup!$G:$G,MATCH($C120,lookup!$D:$D,0))="LEAP","LEAP MONTH - counts as month "&amp;$I120&amp;", flagged for review",""),"")</f>
        <v/>
      </c>
    </row>
    <row r="121" ht="15.75" customHeight="1" s="10">
      <c r="A121" s="6">
        <f>A120+1</f>
        <v/>
      </c>
      <c r="B121" s="1">
        <f>TEXT(A121,"ddd")</f>
        <v/>
      </c>
      <c r="C121" s="1" t="inlineStr">
        <is>
          <t>十一月</t>
        </is>
      </c>
      <c r="D121" s="1" t="inlineStr">
        <is>
          <t>初一</t>
        </is>
      </c>
      <c r="E121" s="1">
        <f t="array" ref="E121">_xlfn.XLOOKUP($D121,lookup!$A:$A,lookup!$B:$B)</f>
        <v/>
      </c>
      <c r="F121" s="1" t="inlineStr">
        <is>
          <t>New</t>
        </is>
      </c>
      <c r="H121" s="5">
        <f>IF($E121="","",IF(OR($E121=8,$E121=14,$E121=15,$E121=23,$E122=1,$E123=1),"Fast day",""))</f>
        <v/>
      </c>
      <c r="I121" s="5">
        <f>IFERROR(INDEX(lookup!$E:$E,MATCH($C121,lookup!$D:$D,0)),"")</f>
        <v/>
      </c>
      <c r="J121" s="5">
        <f>IF($I121="","",IF(OR($I121=1,$I121=5,$I121=9),IF($K121="","Long fast month","Long fast month (LEAP)"),""))</f>
        <v/>
      </c>
      <c r="K121" s="0">
        <f>IFERROR(IF(INDEX(lookup!$G:$G,MATCH($C121,lookup!$D:$D,0))="LEAP","LEAP MONTH - counts as month "&amp;$I121&amp;", flagged for review",""),"")</f>
        <v/>
      </c>
    </row>
    <row r="122" ht="15.75" customHeight="1" s="10">
      <c r="A122" s="6">
        <f>A121+1</f>
        <v/>
      </c>
      <c r="B122" s="1">
        <f>TEXT(A122,"ddd")</f>
        <v/>
      </c>
      <c r="C122" s="1">
        <f>IF($E122=1,"?",C121)</f>
        <v/>
      </c>
      <c r="D122" s="1" t="inlineStr">
        <is>
          <t>初二</t>
        </is>
      </c>
      <c r="E122" s="1">
        <f t="array" ref="E122">_xlfn.XLOOKUP($D122,lookup!$A:$A,lookup!$B:$B)</f>
        <v/>
      </c>
      <c r="F122" s="1" t="n"/>
      <c r="H122" s="5">
        <f>IF($E122="","",IF(OR($E122=8,$E122=14,$E122=15,$E122=23,$E123=1,$E124=1),"Fast day",""))</f>
        <v/>
      </c>
      <c r="I122" s="5">
        <f>IFERROR(INDEX(lookup!$E:$E,MATCH($C122,lookup!$D:$D,0)),"")</f>
        <v/>
      </c>
      <c r="J122" s="5">
        <f>IF($I122="","",IF(OR($I122=1,$I122=5,$I122=9),IF($K122="","Long fast month","Long fast month (LEAP)"),""))</f>
        <v/>
      </c>
      <c r="K122" s="0">
        <f>IFERROR(IF(INDEX(lookup!$G:$G,MATCH($C122,lookup!$D:$D,0))="LEAP","LEAP MONTH - counts as month "&amp;$I122&amp;", flagged for review",""),"")</f>
        <v/>
      </c>
    </row>
    <row r="123" ht="15.75" customHeight="1" s="10">
      <c r="A123" s="6">
        <f>A122+1</f>
        <v/>
      </c>
      <c r="B123" s="1">
        <f>TEXT(A123,"ddd")</f>
        <v/>
      </c>
      <c r="C123" s="1">
        <f>IF($E123=1,"?",C122)</f>
        <v/>
      </c>
      <c r="D123" s="1" t="inlineStr">
        <is>
          <t>初三</t>
        </is>
      </c>
      <c r="E123" s="1">
        <f t="array" ref="E123">_xlfn.XLOOKUP($D123,lookup!$A:$A,lookup!$B:$B)</f>
        <v/>
      </c>
      <c r="F123" s="1" t="n"/>
      <c r="H123" s="5">
        <f>IF($E123="","",IF(OR($E123=8,$E123=14,$E123=15,$E123=23,$E124=1,$E125=1),"Fast day",""))</f>
        <v/>
      </c>
      <c r="I123" s="5">
        <f>IFERROR(INDEX(lookup!$E:$E,MATCH($C123,lookup!$D:$D,0)),"")</f>
        <v/>
      </c>
      <c r="J123" s="5">
        <f>IF($I123="","",IF(OR($I123=1,$I123=5,$I123=9),IF($K123="","Long fast month","Long fast month (LEAP)"),""))</f>
        <v/>
      </c>
      <c r="K123" s="0">
        <f>IFERROR(IF(INDEX(lookup!$G:$G,MATCH($C123,lookup!$D:$D,0))="LEAP","LEAP MONTH - counts as month "&amp;$I123&amp;", flagged for review",""),"")</f>
        <v/>
      </c>
    </row>
    <row r="124" ht="15.75" customHeight="1" s="10">
      <c r="A124" s="6">
        <f>A123+1</f>
        <v/>
      </c>
      <c r="B124" s="1">
        <f>TEXT(A124,"ddd")</f>
        <v/>
      </c>
      <c r="C124" s="1">
        <f>IF($E124=1,"?",C123)</f>
        <v/>
      </c>
      <c r="D124" s="1" t="inlineStr">
        <is>
          <t>初四</t>
        </is>
      </c>
      <c r="E124" s="1">
        <f t="array" ref="E124">_xlfn.XLOOKUP($D124,lookup!$A:$A,lookup!$B:$B)</f>
        <v/>
      </c>
      <c r="F124" s="1" t="n"/>
      <c r="H124" s="5">
        <f>IF($E124="","",IF(OR($E124=8,$E124=14,$E124=15,$E124=23,$E125=1,$E126=1),"Fast day",""))</f>
        <v/>
      </c>
      <c r="I124" s="5">
        <f>IFERROR(INDEX(lookup!$E:$E,MATCH($C124,lookup!$D:$D,0)),"")</f>
        <v/>
      </c>
      <c r="J124" s="5">
        <f>IF($I124="","",IF(OR($I124=1,$I124=5,$I124=9),IF($K124="","Long fast month","Long fast month (LEAP)"),""))</f>
        <v/>
      </c>
      <c r="K124" s="0">
        <f>IFERROR(IF(INDEX(lookup!$G:$G,MATCH($C124,lookup!$D:$D,0))="LEAP","LEAP MONTH - counts as month "&amp;$I124&amp;", flagged for review",""),"")</f>
        <v/>
      </c>
    </row>
    <row r="125" ht="15.75" customHeight="1" s="10">
      <c r="A125" s="6">
        <f>A124+1</f>
        <v/>
      </c>
      <c r="B125" s="1">
        <f>TEXT(A125,"ddd")</f>
        <v/>
      </c>
      <c r="C125" s="1">
        <f>IF($E125=1,"?",C124)</f>
        <v/>
      </c>
      <c r="D125" s="1" t="inlineStr">
        <is>
          <t>初五</t>
        </is>
      </c>
      <c r="E125" s="1">
        <f t="array" ref="E125">_xlfn.XLOOKUP($D125,lookup!$A:$A,lookup!$B:$B)</f>
        <v/>
      </c>
      <c r="F125" s="1" t="n"/>
      <c r="H125" s="5">
        <f>IF($E125="","",IF(OR($E125=8,$E125=14,$E125=15,$E125=23,$E126=1,$E127=1),"Fast day",""))</f>
        <v/>
      </c>
      <c r="I125" s="5">
        <f>IFERROR(INDEX(lookup!$E:$E,MATCH($C125,lookup!$D:$D,0)),"")</f>
        <v/>
      </c>
      <c r="J125" s="5">
        <f>IF($I125="","",IF(OR($I125=1,$I125=5,$I125=9),IF($K125="","Long fast month","Long fast month (LEAP)"),""))</f>
        <v/>
      </c>
      <c r="K125" s="0">
        <f>IFERROR(IF(INDEX(lookup!$G:$G,MATCH($C125,lookup!$D:$D,0))="LEAP","LEAP MONTH - counts as month "&amp;$I125&amp;", flagged for review",""),"")</f>
        <v/>
      </c>
    </row>
    <row r="126" ht="15.75" customHeight="1" s="10">
      <c r="A126" s="6">
        <f>A125+1</f>
        <v/>
      </c>
      <c r="B126" s="1">
        <f>TEXT(A126,"ddd")</f>
        <v/>
      </c>
      <c r="C126" s="1">
        <f>IF($E126=1,"?",C125)</f>
        <v/>
      </c>
      <c r="D126" s="1" t="inlineStr">
        <is>
          <t>初六</t>
        </is>
      </c>
      <c r="E126" s="1">
        <f t="array" ref="E126">_xlfn.XLOOKUP($D126,lookup!$A:$A,lookup!$B:$B)</f>
        <v/>
      </c>
      <c r="F126" s="1" t="n"/>
      <c r="H126" s="5">
        <f>IF($E126="","",IF(OR($E126=8,$E126=14,$E126=15,$E126=23,$E127=1,$E128=1),"Fast day",""))</f>
        <v/>
      </c>
      <c r="I126" s="5">
        <f>IFERROR(INDEX(lookup!$E:$E,MATCH($C126,lookup!$D:$D,0)),"")</f>
        <v/>
      </c>
      <c r="J126" s="5">
        <f>IF($I126="","",IF(OR($I126=1,$I126=5,$I126=9),IF($K126="","Long fast month","Long fast month (LEAP)"),""))</f>
        <v/>
      </c>
      <c r="K126" s="0">
        <f>IFERROR(IF(INDEX(lookup!$G:$G,MATCH($C126,lookup!$D:$D,0))="LEAP","LEAP MONTH - counts as month "&amp;$I126&amp;", flagged for review",""),"")</f>
        <v/>
      </c>
    </row>
    <row r="127" ht="15.75" customHeight="1" s="10">
      <c r="A127" s="6">
        <f>A126+1</f>
        <v/>
      </c>
      <c r="B127" s="1">
        <f>TEXT(A127,"ddd")</f>
        <v/>
      </c>
      <c r="C127" s="1">
        <f>IF($E127=1,"?",C126)</f>
        <v/>
      </c>
      <c r="D127" s="1" t="inlineStr">
        <is>
          <t>初七</t>
        </is>
      </c>
      <c r="E127" s="1">
        <f t="array" ref="E127">_xlfn.XLOOKUP($D127,lookup!$A:$A,lookup!$B:$B)</f>
        <v/>
      </c>
      <c r="F127" s="1" t="n"/>
      <c r="H127" s="5">
        <f>IF($E127="","",IF(OR($E127=8,$E127=14,$E127=15,$E127=23,$E128=1,$E129=1),"Fast day",""))</f>
        <v/>
      </c>
      <c r="I127" s="5">
        <f>IFERROR(INDEX(lookup!$E:$E,MATCH($C127,lookup!$D:$D,0)),"")</f>
        <v/>
      </c>
      <c r="J127" s="5">
        <f>IF($I127="","",IF(OR($I127=1,$I127=5,$I127=9),IF($K127="","Long fast month","Long fast month (LEAP)"),""))</f>
        <v/>
      </c>
      <c r="K127" s="0">
        <f>IFERROR(IF(INDEX(lookup!$G:$G,MATCH($C127,lookup!$D:$D,0))="LEAP","LEAP MONTH - counts as month "&amp;$I127&amp;", flagged for review",""),"")</f>
        <v/>
      </c>
    </row>
    <row r="128" ht="15.75" customHeight="1" s="10">
      <c r="A128" s="6">
        <f>A127+1</f>
        <v/>
      </c>
      <c r="B128" s="1">
        <f>TEXT(A128,"ddd")</f>
        <v/>
      </c>
      <c r="C128" s="1">
        <f>IF($E128=1,"?",C127)</f>
        <v/>
      </c>
      <c r="D128" s="1" t="inlineStr">
        <is>
          <t>初八</t>
        </is>
      </c>
      <c r="E128" s="1">
        <f t="array" ref="E128">_xlfn.XLOOKUP($D128,lookup!$A:$A,lookup!$B:$B)</f>
        <v/>
      </c>
      <c r="F128" s="1" t="n"/>
      <c r="H128" s="5">
        <f>IF($E128="","",IF(OR($E128=8,$E128=14,$E128=15,$E128=23,$E129=1,$E130=1),"Fast day",""))</f>
        <v/>
      </c>
      <c r="I128" s="5">
        <f>IFERROR(INDEX(lookup!$E:$E,MATCH($C128,lookup!$D:$D,0)),"")</f>
        <v/>
      </c>
      <c r="J128" s="5">
        <f>IF($I128="","",IF(OR($I128=1,$I128=5,$I128=9),IF($K128="","Long fast month","Long fast month (LEAP)"),""))</f>
        <v/>
      </c>
      <c r="K128" s="0">
        <f>IFERROR(IF(INDEX(lookup!$G:$G,MATCH($C128,lookup!$D:$D,0))="LEAP","LEAP MONTH - counts as month "&amp;$I128&amp;", flagged for review",""),"")</f>
        <v/>
      </c>
    </row>
    <row r="129" ht="15.75" customHeight="1" s="10">
      <c r="A129" s="6">
        <f>A128+1</f>
        <v/>
      </c>
      <c r="B129" s="1">
        <f>TEXT(A129,"ddd")</f>
        <v/>
      </c>
      <c r="C129" s="1">
        <f>IF($E129=1,"?",C128)</f>
        <v/>
      </c>
      <c r="D129" s="1" t="inlineStr">
        <is>
          <t>初九</t>
        </is>
      </c>
      <c r="E129" s="1">
        <f t="array" ref="E129">_xlfn.XLOOKUP($D129,lookup!$A:$A,lookup!$B:$B)</f>
        <v/>
      </c>
      <c r="F129" s="1" t="n"/>
      <c r="H129" s="5">
        <f>IF($E129="","",IF(OR($E129=8,$E129=14,$E129=15,$E129=23,$E130=1,$E131=1),"Fast day",""))</f>
        <v/>
      </c>
      <c r="I129" s="5">
        <f>IFERROR(INDEX(lookup!$E:$E,MATCH($C129,lookup!$D:$D,0)),"")</f>
        <v/>
      </c>
      <c r="J129" s="5">
        <f>IF($I129="","",IF(OR($I129=1,$I129=5,$I129=9),IF($K129="","Long fast month","Long fast month (LEAP)"),""))</f>
        <v/>
      </c>
      <c r="K129" s="0">
        <f>IFERROR(IF(INDEX(lookup!$G:$G,MATCH($C129,lookup!$D:$D,0))="LEAP","LEAP MONTH - counts as month "&amp;$I129&amp;", flagged for review",""),"")</f>
        <v/>
      </c>
    </row>
    <row r="130" ht="15.75" customHeight="1" s="10">
      <c r="A130" s="6">
        <f>A129+1</f>
        <v/>
      </c>
      <c r="B130" s="1">
        <f>TEXT(A130,"ddd")</f>
        <v/>
      </c>
      <c r="C130" s="1">
        <f>IF($E130=1,"?",C129)</f>
        <v/>
      </c>
      <c r="D130" s="1" t="inlineStr">
        <is>
          <t>初十</t>
        </is>
      </c>
      <c r="E130" s="1">
        <f t="array" ref="E130">_xlfn.XLOOKUP($D130,lookup!$A:$A,lookup!$B:$B)</f>
        <v/>
      </c>
      <c r="F130" s="1" t="n"/>
      <c r="G130" s="3" t="inlineStr">
        <is>
          <t>Monthly Memorial of Venerable Master Hua’s Entering Nirvana</t>
        </is>
      </c>
      <c r="H130" s="5">
        <f>IF($E130="","",IF(OR($E130=8,$E130=14,$E130=15,$E130=23,$E131=1,$E132=1),"Fast day",""))</f>
        <v/>
      </c>
      <c r="I130" s="5">
        <f>IFERROR(INDEX(lookup!$E:$E,MATCH($C130,lookup!$D:$D,0)),"")</f>
        <v/>
      </c>
      <c r="J130" s="5">
        <f>IF($I130="","",IF(OR($I130=1,$I130=5,$I130=9),IF($K130="","Long fast month","Long fast month (LEAP)"),""))</f>
        <v/>
      </c>
      <c r="K130" s="0">
        <f>IFERROR(IF(INDEX(lookup!$G:$G,MATCH($C130,lookup!$D:$D,0))="LEAP","LEAP MONTH - counts as month "&amp;$I130&amp;", flagged for review",""),"")</f>
        <v/>
      </c>
    </row>
    <row r="131" ht="15.75" customHeight="1" s="10">
      <c r="A131" s="6">
        <f>A130+1</f>
        <v/>
      </c>
      <c r="B131" s="1">
        <f>TEXT(A131,"ddd")</f>
        <v/>
      </c>
      <c r="C131" s="1">
        <f>IF($E131=1,"?",C130)</f>
        <v/>
      </c>
      <c r="D131" s="1" t="inlineStr">
        <is>
          <t>十一</t>
        </is>
      </c>
      <c r="E131" s="1">
        <f t="array" ref="E131">_xlfn.XLOOKUP($D131,lookup!$A:$A,lookup!$B:$B)</f>
        <v/>
      </c>
      <c r="F131" s="1" t="n"/>
      <c r="H131" s="5">
        <f>IF($E131="","",IF(OR($E131=8,$E131=14,$E131=15,$E131=23,$E132=1,$E133=1),"Fast day",""))</f>
        <v/>
      </c>
      <c r="I131" s="5">
        <f>IFERROR(INDEX(lookup!$E:$E,MATCH($C131,lookup!$D:$D,0)),"")</f>
        <v/>
      </c>
      <c r="J131" s="5">
        <f>IF($I131="","",IF(OR($I131=1,$I131=5,$I131=9),IF($K131="","Long fast month","Long fast month (LEAP)"),""))</f>
        <v/>
      </c>
      <c r="K131" s="0">
        <f>IFERROR(IF(INDEX(lookup!$G:$G,MATCH($C131,lookup!$D:$D,0))="LEAP","LEAP MONTH - counts as month "&amp;$I131&amp;", flagged for review",""),"")</f>
        <v/>
      </c>
    </row>
    <row r="132" ht="15.75" customHeight="1" s="10">
      <c r="A132" s="6">
        <f>A131+1</f>
        <v/>
      </c>
      <c r="B132" s="1">
        <f>TEXT(A132,"ddd")</f>
        <v/>
      </c>
      <c r="C132" s="1">
        <f>IF($E132=1,"?",C131)</f>
        <v/>
      </c>
      <c r="D132" s="1" t="inlineStr">
        <is>
          <t>十二</t>
        </is>
      </c>
      <c r="E132" s="1">
        <f t="array" ref="E132">_xlfn.XLOOKUP($D132,lookup!$A:$A,lookup!$B:$B)</f>
        <v/>
      </c>
      <c r="F132" s="1" t="n"/>
      <c r="G132" s="3" t="inlineStr">
        <is>
          <t>Celebration of Amitabha Buddha’s Birthday (Observed)</t>
        </is>
      </c>
      <c r="H132" s="5">
        <f>IF($E132="","",IF(OR($E132=8,$E132=14,$E132=15,$E132=23,$E133=1,$E134=1),"Fast day",""))</f>
        <v/>
      </c>
      <c r="I132" s="5">
        <f>IFERROR(INDEX(lookup!$E:$E,MATCH($C132,lookup!$D:$D,0)),"")</f>
        <v/>
      </c>
      <c r="J132" s="5">
        <f>IF($I132="","",IF(OR($I132=1,$I132=5,$I132=9),IF($K132="","Long fast month","Long fast month (LEAP)"),""))</f>
        <v/>
      </c>
      <c r="K132" s="0">
        <f>IFERROR(IF(INDEX(lookup!$G:$G,MATCH($C132,lookup!$D:$D,0))="LEAP","LEAP MONTH - counts as month "&amp;$I132&amp;", flagged for review",""),"")</f>
        <v/>
      </c>
    </row>
    <row r="133" ht="15.75" customHeight="1" s="10">
      <c r="A133" s="6">
        <f>A132+1</f>
        <v/>
      </c>
      <c r="B133" s="1">
        <f>TEXT(A133,"ddd")</f>
        <v/>
      </c>
      <c r="C133" s="1">
        <f>IF($E133=1,"?",C132)</f>
        <v/>
      </c>
      <c r="D133" s="1" t="inlineStr">
        <is>
          <t>十三</t>
        </is>
      </c>
      <c r="E133" s="1">
        <f t="array" ref="E133">_xlfn.XLOOKUP($D133,lookup!$A:$A,lookup!$B:$B)</f>
        <v/>
      </c>
      <c r="F133" s="1" t="n"/>
      <c r="G133" s="3" t="inlineStr">
        <is>
          <t>Western Winter Solstice</t>
        </is>
      </c>
      <c r="H133" s="5">
        <f>IF($E133="","",IF(OR($E133=8,$E133=14,$E133=15,$E133=23,$E134=1,$E135=1),"Fast day",""))</f>
        <v/>
      </c>
      <c r="I133" s="5">
        <f>IFERROR(INDEX(lookup!$E:$E,MATCH($C133,lookup!$D:$D,0)),"")</f>
        <v/>
      </c>
      <c r="J133" s="5">
        <f>IF($I133="","",IF(OR($I133=1,$I133=5,$I133=9),IF($K133="","Long fast month","Long fast month (LEAP)"),""))</f>
        <v/>
      </c>
      <c r="K133" s="0">
        <f>IFERROR(IF(INDEX(lookup!$G:$G,MATCH($C133,lookup!$D:$D,0))="LEAP","LEAP MONTH - counts as month "&amp;$I133&amp;", flagged for review",""),"")</f>
        <v/>
      </c>
    </row>
    <row r="134" ht="15.75" customHeight="1" s="10">
      <c r="A134" s="6">
        <f>A133+1</f>
        <v/>
      </c>
      <c r="B134" s="1">
        <f>TEXT(A134,"ddd")</f>
        <v/>
      </c>
      <c r="C134" s="1">
        <f>IF($E134=1,"?",C133)</f>
        <v/>
      </c>
      <c r="D134" s="1" t="inlineStr">
        <is>
          <t>十四</t>
        </is>
      </c>
      <c r="E134" s="1">
        <f t="array" ref="E134">_xlfn.XLOOKUP($D134,lookup!$A:$A,lookup!$B:$B)</f>
        <v/>
      </c>
      <c r="F134" s="1" t="n"/>
      <c r="G134" s="3" t="inlineStr">
        <is>
          <t>Chinese Winter Solstice</t>
        </is>
      </c>
      <c r="H134" s="5">
        <f>IF($E134="","",IF(OR($E134=8,$E134=14,$E134=15,$E134=23,$E135=1,$E136=1),"Fast day",""))</f>
        <v/>
      </c>
      <c r="I134" s="5">
        <f>IFERROR(INDEX(lookup!$E:$E,MATCH($C134,lookup!$D:$D,0)),"")</f>
        <v/>
      </c>
      <c r="J134" s="5">
        <f>IF($I134="","",IF(OR($I134=1,$I134=5,$I134=9),IF($K134="","Long fast month","Long fast month (LEAP)"),""))</f>
        <v/>
      </c>
      <c r="K134" s="0">
        <f>IFERROR(IF(INDEX(lookup!$G:$G,MATCH($C134,lookup!$D:$D,0))="LEAP","LEAP MONTH - counts as month "&amp;$I134&amp;", flagged for review",""),"")</f>
        <v/>
      </c>
    </row>
    <row r="135" ht="15.75" customHeight="1" s="10">
      <c r="A135" s="6">
        <f>A134+1</f>
        <v/>
      </c>
      <c r="B135" s="1">
        <f>TEXT(A135,"ddd")</f>
        <v/>
      </c>
      <c r="C135" s="1" t="inlineStr">
        <is>
          <t>十一月</t>
        </is>
      </c>
      <c r="D135" s="1" t="inlineStr">
        <is>
          <t>十五</t>
        </is>
      </c>
      <c r="E135" s="1">
        <f t="array" ref="E135">_xlfn.XLOOKUP($D135,lookup!$A:$A,lookup!$B:$B)</f>
        <v/>
      </c>
      <c r="F135" s="1" t="inlineStr">
        <is>
          <t>Full</t>
        </is>
      </c>
      <c r="H135" s="5">
        <f>IF($E135="","",IF(OR($E135=8,$E135=14,$E135=15,$E135=23,$E136=1,$E137=1),"Fast day",""))</f>
        <v/>
      </c>
      <c r="I135" s="5">
        <f>IFERROR(INDEX(lookup!$E:$E,MATCH($C135,lookup!$D:$D,0)),"")</f>
        <v/>
      </c>
      <c r="J135" s="5">
        <f>IF($I135="","",IF(OR($I135=1,$I135=5,$I135=9),IF($K135="","Long fast month","Long fast month (LEAP)"),""))</f>
        <v/>
      </c>
      <c r="K135" s="0">
        <f>IFERROR(IF(INDEX(lookup!$G:$G,MATCH($C135,lookup!$D:$D,0))="LEAP","LEAP MONTH - counts as month "&amp;$I135&amp;", flagged for review",""),"")</f>
        <v/>
      </c>
    </row>
    <row r="136" ht="15.75" customHeight="1" s="10">
      <c r="A136" s="6">
        <f>A135+1</f>
        <v/>
      </c>
      <c r="B136" s="1">
        <f>TEXT(A136,"ddd")</f>
        <v/>
      </c>
      <c r="C136" s="1">
        <f>IF($E136=1,"?",C135)</f>
        <v/>
      </c>
      <c r="D136" s="1" t="inlineStr">
        <is>
          <t>十六</t>
        </is>
      </c>
      <c r="E136" s="1">
        <f t="array" ref="E136">_xlfn.XLOOKUP($D136,lookup!$A:$A,lookup!$B:$B)</f>
        <v/>
      </c>
      <c r="F136" s="1" t="n"/>
      <c r="G136" s="3" t="inlineStr">
        <is>
          <t>Christmas Eve</t>
        </is>
      </c>
      <c r="H136" s="5">
        <f>IF($E136="","",IF(OR($E136=8,$E136=14,$E136=15,$E136=23,$E137=1,$E138=1),"Fast day",""))</f>
        <v/>
      </c>
      <c r="I136" s="5">
        <f>IFERROR(INDEX(lookup!$E:$E,MATCH($C136,lookup!$D:$D,0)),"")</f>
        <v/>
      </c>
      <c r="J136" s="5">
        <f>IF($I136="","",IF(OR($I136=1,$I136=5,$I136=9),IF($K136="","Long fast month","Long fast month (LEAP)"),""))</f>
        <v/>
      </c>
      <c r="K136" s="0">
        <f>IFERROR(IF(INDEX(lookup!$G:$G,MATCH($C136,lookup!$D:$D,0))="LEAP","LEAP MONTH - counts as month "&amp;$I136&amp;", flagged for review",""),"")</f>
        <v/>
      </c>
    </row>
    <row r="137" ht="15.75" customHeight="1" s="10">
      <c r="A137" s="6">
        <f>A136+1</f>
        <v/>
      </c>
      <c r="B137" s="1">
        <f>TEXT(A137,"ddd")</f>
        <v/>
      </c>
      <c r="C137" s="1">
        <f>IF($E137=1,"?",C136)</f>
        <v/>
      </c>
      <c r="D137" s="1" t="inlineStr">
        <is>
          <t>十七</t>
        </is>
      </c>
      <c r="E137" s="1">
        <f t="array" ref="E137">_xlfn.XLOOKUP($D137,lookup!$A:$A,lookup!$B:$B)</f>
        <v/>
      </c>
      <c r="F137" s="1" t="n"/>
      <c r="G137" s="3" t="inlineStr">
        <is>
          <t>Amitabha Buddha’s Birthday (actual day)
Christmas Day</t>
        </is>
      </c>
      <c r="H137" s="5">
        <f>IF($E137="","",IF(OR($E137=8,$E137=14,$E137=15,$E137=23,$E138=1,$E139=1),"Fast day",""))</f>
        <v/>
      </c>
      <c r="I137" s="5">
        <f>IFERROR(INDEX(lookup!$E:$E,MATCH($C137,lookup!$D:$D,0)),"")</f>
        <v/>
      </c>
      <c r="J137" s="5">
        <f>IF($I137="","",IF(OR($I137=1,$I137=5,$I137=9),IF($K137="","Long fast month","Long fast month (LEAP)"),""))</f>
        <v/>
      </c>
      <c r="K137" s="0">
        <f>IFERROR(IF(INDEX(lookup!$G:$G,MATCH($C137,lookup!$D:$D,0))="LEAP","LEAP MONTH - counts as month "&amp;$I137&amp;", flagged for review",""),"")</f>
        <v/>
      </c>
    </row>
    <row r="138" ht="15.75" customHeight="1" s="10">
      <c r="A138" s="6">
        <f>A137+1</f>
        <v/>
      </c>
      <c r="B138" s="1">
        <f>TEXT(A138,"ddd")</f>
        <v/>
      </c>
      <c r="C138" s="1">
        <f>IF($E138=1,"?",C137)</f>
        <v/>
      </c>
      <c r="D138" s="1" t="inlineStr">
        <is>
          <t>十八</t>
        </is>
      </c>
      <c r="E138" s="1">
        <f t="array" ref="E138">_xlfn.XLOOKUP($D138,lookup!$A:$A,lookup!$B:$B)</f>
        <v/>
      </c>
      <c r="F138" s="1" t="n"/>
      <c r="H138" s="5">
        <f>IF($E138="","",IF(OR($E138=8,$E138=14,$E138=15,$E138=23,$E139=1,$E140=1),"Fast day",""))</f>
        <v/>
      </c>
      <c r="I138" s="5">
        <f>IFERROR(INDEX(lookup!$E:$E,MATCH($C138,lookup!$D:$D,0)),"")</f>
        <v/>
      </c>
      <c r="J138" s="5">
        <f>IF($I138="","",IF(OR($I138=1,$I138=5,$I138=9),IF($K138="","Long fast month","Long fast month (LEAP)"),""))</f>
        <v/>
      </c>
      <c r="K138" s="0">
        <f>IFERROR(IF(INDEX(lookup!$G:$G,MATCH($C138,lookup!$D:$D,0))="LEAP","LEAP MONTH - counts as month "&amp;$I138&amp;", flagged for review",""),"")</f>
        <v/>
      </c>
    </row>
    <row r="139" ht="15.75" customHeight="1" s="10">
      <c r="A139" s="6">
        <f>A138+1</f>
        <v/>
      </c>
      <c r="B139" s="1">
        <f>TEXT(A139,"ddd")</f>
        <v/>
      </c>
      <c r="C139" s="1">
        <f>IF($E139=1,"?",C138)</f>
        <v/>
      </c>
      <c r="D139" s="1" t="inlineStr">
        <is>
          <t>十九</t>
        </is>
      </c>
      <c r="E139" s="1">
        <f t="array" ref="E139">_xlfn.XLOOKUP($D139,lookup!$A:$A,lookup!$B:$B)</f>
        <v/>
      </c>
      <c r="F139" s="1" t="n"/>
      <c r="H139" s="5">
        <f>IF($E139="","",IF(OR($E139=8,$E139=14,$E139=15,$E139=23,$E140=1,$E141=1),"Fast day",""))</f>
        <v/>
      </c>
      <c r="I139" s="5">
        <f>IFERROR(INDEX(lookup!$E:$E,MATCH($C139,lookup!$D:$D,0)),"")</f>
        <v/>
      </c>
      <c r="J139" s="5">
        <f>IF($I139="","",IF(OR($I139=1,$I139=5,$I139=9),IF($K139="","Long fast month","Long fast month (LEAP)"),""))</f>
        <v/>
      </c>
      <c r="K139" s="0">
        <f>IFERROR(IF(INDEX(lookup!$G:$G,MATCH($C139,lookup!$D:$D,0))="LEAP","LEAP MONTH - counts as month "&amp;$I139&amp;", flagged for review",""),"")</f>
        <v/>
      </c>
    </row>
    <row r="140" ht="15.75" customHeight="1" s="10">
      <c r="A140" s="6">
        <f>A139+1</f>
        <v/>
      </c>
      <c r="B140" s="1">
        <f>TEXT(A140,"ddd")</f>
        <v/>
      </c>
      <c r="C140" s="1">
        <f>IF($E140=1,"?",C139)</f>
        <v/>
      </c>
      <c r="D140" s="1" t="inlineStr">
        <is>
          <t>二十</t>
        </is>
      </c>
      <c r="E140" s="1">
        <f t="array" ref="E140">_xlfn.XLOOKUP($D140,lookup!$A:$A,lookup!$B:$B)</f>
        <v/>
      </c>
      <c r="F140" s="1" t="n"/>
      <c r="H140" s="5">
        <f>IF($E140="","",IF(OR($E140=8,$E140=14,$E140=15,$E140=23,$E141=1,$E142=1),"Fast day",""))</f>
        <v/>
      </c>
      <c r="I140" s="5">
        <f>IFERROR(INDEX(lookup!$E:$E,MATCH($C140,lookup!$D:$D,0)),"")</f>
        <v/>
      </c>
      <c r="J140" s="5">
        <f>IF($I140="","",IF(OR($I140=1,$I140=5,$I140=9),IF($K140="","Long fast month","Long fast month (LEAP)"),""))</f>
        <v/>
      </c>
      <c r="K140" s="0">
        <f>IFERROR(IF(INDEX(lookup!$G:$G,MATCH($C140,lookup!$D:$D,0))="LEAP","LEAP MONTH - counts as month "&amp;$I140&amp;", flagged for review",""),"")</f>
        <v/>
      </c>
    </row>
    <row r="141" ht="15.75" customHeight="1" s="10">
      <c r="A141" s="6">
        <f>A140+1</f>
        <v/>
      </c>
      <c r="B141" s="1">
        <f>TEXT(A141,"ddd")</f>
        <v/>
      </c>
      <c r="C141" s="1">
        <f>IF($E141=1,"?",C140)</f>
        <v/>
      </c>
      <c r="D141" s="1" t="inlineStr">
        <is>
          <t>廿一</t>
        </is>
      </c>
      <c r="E141" s="1">
        <f t="array" ref="E141">_xlfn.XLOOKUP($D141,lookup!$A:$A,lookup!$B:$B)</f>
        <v/>
      </c>
      <c r="F141" s="1" t="n"/>
      <c r="H141" s="5">
        <f>IF($E141="","",IF(OR($E141=8,$E141=14,$E141=15,$E141=23,$E142=1,$E143=1),"Fast day",""))</f>
        <v/>
      </c>
      <c r="I141" s="5">
        <f>IFERROR(INDEX(lookup!$E:$E,MATCH($C141,lookup!$D:$D,0)),"")</f>
        <v/>
      </c>
      <c r="J141" s="5">
        <f>IF($I141="","",IF(OR($I141=1,$I141=5,$I141=9),IF($K141="","Long fast month","Long fast month (LEAP)"),""))</f>
        <v/>
      </c>
      <c r="K141" s="0">
        <f>IFERROR(IF(INDEX(lookup!$G:$G,MATCH($C141,lookup!$D:$D,0))="LEAP","LEAP MONTH - counts as month "&amp;$I141&amp;", flagged for review",""),"")</f>
        <v/>
      </c>
    </row>
    <row r="142" ht="15.75" customHeight="1" s="10">
      <c r="A142" s="6">
        <f>A141+1</f>
        <v/>
      </c>
      <c r="B142" s="1">
        <f>TEXT(A142,"ddd")</f>
        <v/>
      </c>
      <c r="C142" s="1">
        <f>IF($E142=1,"?",C141)</f>
        <v/>
      </c>
      <c r="D142" s="1" t="inlineStr">
        <is>
          <t>廿二</t>
        </is>
      </c>
      <c r="E142" s="1">
        <f t="array" ref="E142">_xlfn.XLOOKUP($D142,lookup!$A:$A,lookup!$B:$B)</f>
        <v/>
      </c>
      <c r="F142" s="1" t="n"/>
      <c r="H142" s="5">
        <f>IF($E142="","",IF(OR($E142=8,$E142=14,$E142=15,$E142=23,$E143=1,$E144=1),"Fast day",""))</f>
        <v/>
      </c>
      <c r="I142" s="5">
        <f>IFERROR(INDEX(lookup!$E:$E,MATCH($C142,lookup!$D:$D,0)),"")</f>
        <v/>
      </c>
      <c r="J142" s="5">
        <f>IF($I142="","",IF(OR($I142=1,$I142=5,$I142=9),IF($K142="","Long fast month","Long fast month (LEAP)"),""))</f>
        <v/>
      </c>
      <c r="K142" s="0">
        <f>IFERROR(IF(INDEX(lookup!$G:$G,MATCH($C142,lookup!$D:$D,0))="LEAP","LEAP MONTH - counts as month "&amp;$I142&amp;", flagged for review",""),"")</f>
        <v/>
      </c>
    </row>
    <row r="143" ht="15.75" customHeight="1" s="10">
      <c r="A143" s="6">
        <f>A142+1</f>
        <v/>
      </c>
      <c r="B143" s="1">
        <f>TEXT(A143,"ddd")</f>
        <v/>
      </c>
      <c r="C143" s="1">
        <f>IF($E143=1,"?",C142)</f>
        <v/>
      </c>
      <c r="D143" s="1" t="inlineStr">
        <is>
          <t>廿三</t>
        </is>
      </c>
      <c r="E143" s="1">
        <f t="array" ref="E143">_xlfn.XLOOKUP($D143,lookup!$A:$A,lookup!$B:$B)</f>
        <v/>
      </c>
      <c r="F143" s="1" t="n"/>
      <c r="H143" s="5">
        <f>IF($E143="","",IF(OR($E143=8,$E143=14,$E143=15,$E143=23,$E144=1,$E145=1),"Fast day",""))</f>
        <v/>
      </c>
      <c r="I143" s="5">
        <f>IFERROR(INDEX(lookup!$E:$E,MATCH($C143,lookup!$D:$D,0)),"")</f>
        <v/>
      </c>
      <c r="J143" s="5">
        <f>IF($I143="","",IF(OR($I143=1,$I143=5,$I143=9),IF($K143="","Long fast month","Long fast month (LEAP)"),""))</f>
        <v/>
      </c>
      <c r="K143" s="0">
        <f>IFERROR(IF(INDEX(lookup!$G:$G,MATCH($C143,lookup!$D:$D,0))="LEAP","LEAP MONTH - counts as month "&amp;$I143&amp;", flagged for review",""),"")</f>
        <v/>
      </c>
    </row>
    <row r="144" ht="15.75" customHeight="1" s="10">
      <c r="A144" s="6">
        <f>A143+1</f>
        <v/>
      </c>
      <c r="B144" s="1">
        <f>TEXT(A144,"ddd")</f>
        <v/>
      </c>
      <c r="C144" s="1">
        <f>IF($E144=1,"?",C143)</f>
        <v/>
      </c>
      <c r="D144" s="1" t="inlineStr">
        <is>
          <t>廿四</t>
        </is>
      </c>
      <c r="E144" s="1">
        <f t="array" ref="E144">_xlfn.XLOOKUP($D144,lookup!$A:$A,lookup!$B:$B)</f>
        <v/>
      </c>
      <c r="F144" s="1" t="n"/>
      <c r="H144" s="5">
        <f>IF($E144="","",IF(OR($E144=8,$E144=14,$E144=15,$E144=23,$E145=1,$E146=1),"Fast day",""))</f>
        <v/>
      </c>
      <c r="I144" s="5">
        <f>IFERROR(INDEX(lookup!$E:$E,MATCH($C144,lookup!$D:$D,0)),"")</f>
        <v/>
      </c>
      <c r="J144" s="5">
        <f>IF($I144="","",IF(OR($I144=1,$I144=5,$I144=9),IF($K144="","Long fast month","Long fast month (LEAP)"),""))</f>
        <v/>
      </c>
      <c r="K144" s="0">
        <f>IFERROR(IF(INDEX(lookup!$G:$G,MATCH($C144,lookup!$D:$D,0))="LEAP","LEAP MONTH - counts as month "&amp;$I144&amp;", flagged for review",""),"")</f>
        <v/>
      </c>
    </row>
    <row r="145" ht="15.75" customHeight="1" s="10">
      <c r="A145" s="6">
        <f>A144+1</f>
        <v/>
      </c>
      <c r="B145" s="1">
        <f>TEXT(A145,"ddd")</f>
        <v/>
      </c>
      <c r="C145" s="1">
        <f>IF($E145=1,"?",C144)</f>
        <v/>
      </c>
      <c r="D145" s="1" t="inlineStr">
        <is>
          <t>廿五</t>
        </is>
      </c>
      <c r="E145" s="1">
        <f t="array" ref="E145">_xlfn.XLOOKUP($D145,lookup!$A:$A,lookup!$B:$B)</f>
        <v/>
      </c>
      <c r="F145" s="1" t="n"/>
      <c r="H145" s="5">
        <f>IF($E145="","",IF(OR($E145=8,$E145=14,$E145=15,$E145=23,$E146=1,$E147=1),"Fast day",""))</f>
        <v/>
      </c>
      <c r="I145" s="5">
        <f>IFERROR(INDEX(lookup!$E:$E,MATCH($C145,lookup!$D:$D,0)),"")</f>
        <v/>
      </c>
      <c r="J145" s="5">
        <f>IF($I145="","",IF(OR($I145=1,$I145=5,$I145=9),IF($K145="","Long fast month","Long fast month (LEAP)"),""))</f>
        <v/>
      </c>
      <c r="K145" s="0">
        <f>IFERROR(IF(INDEX(lookup!$G:$G,MATCH($C145,lookup!$D:$D,0))="LEAP","LEAP MONTH - counts as month "&amp;$I145&amp;", flagged for review",""),"")</f>
        <v/>
      </c>
    </row>
    <row r="146" ht="15.75" customHeight="1" s="10">
      <c r="A146" s="6">
        <f>A145+1</f>
        <v/>
      </c>
      <c r="B146" s="1">
        <f>TEXT(A146,"ddd")</f>
        <v/>
      </c>
      <c r="C146" s="1">
        <f>IF($E146=1,"?",C145)</f>
        <v/>
      </c>
      <c r="D146" s="1" t="inlineStr">
        <is>
          <t>廿六</t>
        </is>
      </c>
      <c r="E146" s="1">
        <f t="array" ref="E146">_xlfn.XLOOKUP($D146,lookup!$A:$A,lookup!$B:$B)</f>
        <v/>
      </c>
      <c r="F146" s="1" t="n"/>
      <c r="H146" s="5">
        <f>IF($E146="","",IF(OR($E146=8,$E146=14,$E146=15,$E146=23,$E147=1,$E148=1),"Fast day",""))</f>
        <v/>
      </c>
      <c r="I146" s="5">
        <f>IFERROR(INDEX(lookup!$E:$E,MATCH($C146,lookup!$D:$D,0)),"")</f>
        <v/>
      </c>
      <c r="J146" s="5">
        <f>IF($I146="","",IF(OR($I146=1,$I146=5,$I146=9),IF($K146="","Long fast month","Long fast month (LEAP)"),""))</f>
        <v/>
      </c>
      <c r="K146" s="0">
        <f>IFERROR(IF(INDEX(lookup!$G:$G,MATCH($C146,lookup!$D:$D,0))="LEAP","LEAP MONTH - counts as month "&amp;$I146&amp;", flagged for review",""),"")</f>
        <v/>
      </c>
    </row>
    <row r="147" ht="15.75" customHeight="1" s="10">
      <c r="A147" s="6">
        <f>A146+1</f>
        <v/>
      </c>
      <c r="B147" s="1">
        <f>TEXT(A147,"ddd")</f>
        <v/>
      </c>
      <c r="C147" s="1">
        <f>IF($E147=1,"?",C146)</f>
        <v/>
      </c>
      <c r="D147" s="1" t="inlineStr">
        <is>
          <t>廿七</t>
        </is>
      </c>
      <c r="E147" s="1">
        <f t="array" ref="E147">_xlfn.XLOOKUP($D147,lookup!$A:$A,lookup!$B:$B)</f>
        <v/>
      </c>
      <c r="F147" s="1" t="n"/>
      <c r="H147" s="5">
        <f>IF($E147="","",IF(OR($E147=8,$E147=14,$E147=15,$E147=23,$E148=1,$E149=1),"Fast day",""))</f>
        <v/>
      </c>
      <c r="I147" s="5">
        <f>IFERROR(INDEX(lookup!$E:$E,MATCH($C147,lookup!$D:$D,0)),"")</f>
        <v/>
      </c>
      <c r="J147" s="5">
        <f>IF($I147="","",IF(OR($I147=1,$I147=5,$I147=9),IF($K147="","Long fast month","Long fast month (LEAP)"),""))</f>
        <v/>
      </c>
      <c r="K147" s="0">
        <f>IFERROR(IF(INDEX(lookup!$G:$G,MATCH($C147,lookup!$D:$D,0))="LEAP","LEAP MONTH - counts as month "&amp;$I147&amp;", flagged for review",""),"")</f>
        <v/>
      </c>
    </row>
    <row r="148" ht="15.75" customHeight="1" s="10">
      <c r="A148" s="6">
        <f>A147+1</f>
        <v/>
      </c>
      <c r="B148" s="1">
        <f>TEXT(A148,"ddd")</f>
        <v/>
      </c>
      <c r="C148" s="1">
        <f>IF($E148=1,"?",C147)</f>
        <v/>
      </c>
      <c r="D148" s="1" t="inlineStr">
        <is>
          <t>廿八</t>
        </is>
      </c>
      <c r="E148" s="1">
        <f t="array" ref="E148">_xlfn.XLOOKUP($D148,lookup!$A:$A,lookup!$B:$B)</f>
        <v/>
      </c>
      <c r="F148" s="1" t="n"/>
      <c r="H148" s="5">
        <f>IF($E148="","",IF(OR($E148=8,$E148=14,$E148=15,$E148=23,$E149=1,$E150=1),"Fast day",""))</f>
        <v/>
      </c>
      <c r="I148" s="5">
        <f>IFERROR(INDEX(lookup!$E:$E,MATCH($C148,lookup!$D:$D,0)),"")</f>
        <v/>
      </c>
      <c r="J148" s="5">
        <f>IF($I148="","",IF(OR($I148=1,$I148=5,$I148=9),IF($K148="","Long fast month","Long fast month (LEAP)"),""))</f>
        <v/>
      </c>
      <c r="K148" s="0">
        <f>IFERROR(IF(INDEX(lookup!$G:$G,MATCH($C148,lookup!$D:$D,0))="LEAP","LEAP MONTH - counts as month "&amp;$I148&amp;", flagged for review",""),"")</f>
        <v/>
      </c>
    </row>
    <row r="149" ht="15.75" customHeight="1" s="10">
      <c r="A149" s="6">
        <f>A148+1</f>
        <v/>
      </c>
      <c r="B149" s="1">
        <f>TEXT(A149,"ddd")</f>
        <v/>
      </c>
      <c r="C149" s="1">
        <f>IF($E149=1,"?",C148)</f>
        <v/>
      </c>
      <c r="D149" s="1" t="inlineStr">
        <is>
          <t>廿九</t>
        </is>
      </c>
      <c r="E149" s="1">
        <f t="array" ref="E149">_xlfn.XLOOKUP($D149,lookup!$A:$A,lookup!$B:$B)</f>
        <v/>
      </c>
      <c r="F149" s="1" t="n"/>
      <c r="H149" s="5">
        <f>IF($E149="","",IF(OR($E149=8,$E149=14,$E149=15,$E149=23,$E150=1,$E151=1),"Fast day",""))</f>
        <v/>
      </c>
      <c r="I149" s="5">
        <f>IFERROR(INDEX(lookup!$E:$E,MATCH($C149,lookup!$D:$D,0)),"")</f>
        <v/>
      </c>
      <c r="J149" s="5">
        <f>IF($I149="","",IF(OR($I149=1,$I149=5,$I149=9),IF($K149="","Long fast month","Long fast month (LEAP)"),""))</f>
        <v/>
      </c>
      <c r="K149" s="0">
        <f>IFERROR(IF(INDEX(lookup!$G:$G,MATCH($C149,lookup!$D:$D,0))="LEAP","LEAP MONTH - counts as month "&amp;$I149&amp;", flagged for review",""),"")</f>
        <v/>
      </c>
    </row>
    <row r="150" ht="15.75" customHeight="1" s="10">
      <c r="A150" s="6">
        <f>A149+1</f>
        <v/>
      </c>
      <c r="B150" s="1">
        <f>TEXT(A150,"ddd")</f>
        <v/>
      </c>
      <c r="C150" s="1">
        <f>IF($E150=1,"?",C149)</f>
        <v/>
      </c>
      <c r="D150" s="1" t="inlineStr">
        <is>
          <t>三十</t>
        </is>
      </c>
      <c r="E150" s="1">
        <f t="array" ref="E150">_xlfn.XLOOKUP($D150,lookup!$A:$A,lookup!$B:$B)</f>
        <v/>
      </c>
      <c r="F150" s="1" t="n"/>
      <c r="H150" s="5">
        <f>IF($E150="","",IF(OR($E150=8,$E150=14,$E150=15,$E150=23,$E151=1,$E152=1),"Fast day",""))</f>
        <v/>
      </c>
      <c r="I150" s="5">
        <f>IFERROR(INDEX(lookup!$E:$E,MATCH($C150,lookup!$D:$D,0)),"")</f>
        <v/>
      </c>
      <c r="J150" s="5">
        <f>IF($I150="","",IF(OR($I150=1,$I150=5,$I150=9),IF($K150="","Long fast month","Long fast month (LEAP)"),""))</f>
        <v/>
      </c>
      <c r="K150" s="0">
        <f>IFERROR(IF(INDEX(lookup!$G:$G,MATCH($C150,lookup!$D:$D,0))="LEAP","LEAP MONTH - counts as month "&amp;$I150&amp;", flagged for review",""),"")</f>
        <v/>
      </c>
    </row>
    <row r="151" ht="15.75" customHeight="1" s="10">
      <c r="A151" s="6">
        <f>A150+1</f>
        <v/>
      </c>
      <c r="B151" s="1">
        <f>TEXT(A151,"ddd")</f>
        <v/>
      </c>
      <c r="C151" s="1" t="inlineStr">
        <is>
          <t>十二月</t>
        </is>
      </c>
      <c r="D151" s="1" t="inlineStr">
        <is>
          <t>初一</t>
        </is>
      </c>
      <c r="E151" s="1">
        <f t="array" ref="E151">_xlfn.XLOOKUP($D151,lookup!$A:$A,lookup!$B:$B)</f>
        <v/>
      </c>
      <c r="F151" s="1" t="inlineStr">
        <is>
          <t>New</t>
        </is>
      </c>
      <c r="H151" s="5">
        <f>IF($E151="","",IF(OR($E151=8,$E151=14,$E151=15,$E151=23,$E152=1,$E153=1),"Fast day",""))</f>
        <v/>
      </c>
      <c r="I151" s="5">
        <f>IFERROR(INDEX(lookup!$E:$E,MATCH($C151,lookup!$D:$D,0)),"")</f>
        <v/>
      </c>
      <c r="J151" s="5">
        <f>IF($I151="","",IF(OR($I151=1,$I151=5,$I151=9),IF($K151="","Long fast month","Long fast month (LEAP)"),""))</f>
        <v/>
      </c>
      <c r="K151" s="0">
        <f>IFERROR(IF(INDEX(lookup!$G:$G,MATCH($C151,lookup!$D:$D,0))="LEAP","LEAP MONTH - counts as month "&amp;$I151&amp;", flagged for review",""),"")</f>
        <v/>
      </c>
    </row>
    <row r="152" ht="15.75" customHeight="1" s="10">
      <c r="A152" s="6">
        <f>A151+1</f>
        <v/>
      </c>
      <c r="B152" s="1">
        <f>TEXT(A152,"ddd")</f>
        <v/>
      </c>
      <c r="C152" s="1">
        <f>IF($E152=1,"?",C151)</f>
        <v/>
      </c>
      <c r="D152" s="1" t="inlineStr">
        <is>
          <t>初二</t>
        </is>
      </c>
      <c r="E152" s="1">
        <f t="array" ref="E152">_xlfn.XLOOKUP($D152,lookup!$A:$A,lookup!$B:$B)</f>
        <v/>
      </c>
      <c r="F152" s="1" t="n"/>
      <c r="H152" s="5">
        <f>IF($E152="","",IF(OR($E152=8,$E152=14,$E152=15,$E152=23,$E153=1,$E154=1),"Fast day",""))</f>
        <v/>
      </c>
      <c r="I152" s="5">
        <f>IFERROR(INDEX(lookup!$E:$E,MATCH($C152,lookup!$D:$D,0)),"")</f>
        <v/>
      </c>
      <c r="J152" s="5">
        <f>IF($I152="","",IF(OR($I152=1,$I152=5,$I152=9),IF($K152="","Long fast month","Long fast month (LEAP)"),""))</f>
        <v/>
      </c>
      <c r="K152" s="0">
        <f>IFERROR(IF(INDEX(lookup!$G:$G,MATCH($C152,lookup!$D:$D,0))="LEAP","LEAP MONTH - counts as month "&amp;$I152&amp;", flagged for review",""),"")</f>
        <v/>
      </c>
    </row>
    <row r="153" ht="15.75" customHeight="1" s="10">
      <c r="A153" s="6">
        <f>A152+1</f>
        <v/>
      </c>
      <c r="B153" s="1">
        <f>TEXT(A153,"ddd")</f>
        <v/>
      </c>
      <c r="C153" s="1">
        <f>IF($E153=1,"?",C152)</f>
        <v/>
      </c>
      <c r="D153" s="1" t="inlineStr">
        <is>
          <t>初三</t>
        </is>
      </c>
      <c r="E153" s="1">
        <f t="array" ref="E153">_xlfn.XLOOKUP($D153,lookup!$A:$A,lookup!$B:$B)</f>
        <v/>
      </c>
      <c r="F153" s="1" t="n"/>
      <c r="H153" s="5">
        <f>IF($E153="","",IF(OR($E153=8,$E153=14,$E153=15,$E153=23,$E154=1,$E155=1),"Fast day",""))</f>
        <v/>
      </c>
      <c r="I153" s="5">
        <f>IFERROR(INDEX(lookup!$E:$E,MATCH($C153,lookup!$D:$D,0)),"")</f>
        <v/>
      </c>
      <c r="J153" s="5">
        <f>IF($I153="","",IF(OR($I153=1,$I153=5,$I153=9),IF($K153="","Long fast month","Long fast month (LEAP)"),""))</f>
        <v/>
      </c>
      <c r="K153" s="0">
        <f>IFERROR(IF(INDEX(lookup!$G:$G,MATCH($C153,lookup!$D:$D,0))="LEAP","LEAP MONTH - counts as month "&amp;$I153&amp;", flagged for review",""),"")</f>
        <v/>
      </c>
    </row>
    <row r="154" ht="15.75" customHeight="1" s="10">
      <c r="A154" s="6">
        <f>A153+1</f>
        <v/>
      </c>
      <c r="B154" s="1">
        <f>TEXT(A154,"ddd")</f>
        <v/>
      </c>
      <c r="C154" s="1">
        <f>IF($E154=1,"?",C153)</f>
        <v/>
      </c>
      <c r="D154" s="1" t="inlineStr">
        <is>
          <t>初四</t>
        </is>
      </c>
      <c r="E154" s="1">
        <f t="array" ref="E154">_xlfn.XLOOKUP($D154,lookup!$A:$A,lookup!$B:$B)</f>
        <v/>
      </c>
      <c r="F154" s="1" t="n"/>
      <c r="H154" s="5">
        <f>IF($E154="","",IF(OR($E154=8,$E154=14,$E154=15,$E154=23,$E155=1,$E156=1),"Fast day",""))</f>
        <v/>
      </c>
      <c r="I154" s="5">
        <f>IFERROR(INDEX(lookup!$E:$E,MATCH($C154,lookup!$D:$D,0)),"")</f>
        <v/>
      </c>
      <c r="J154" s="5">
        <f>IF($I154="","",IF(OR($I154=1,$I154=5,$I154=9),IF($K154="","Long fast month","Long fast month (LEAP)"),""))</f>
        <v/>
      </c>
      <c r="K154" s="0">
        <f>IFERROR(IF(INDEX(lookup!$G:$G,MATCH($C154,lookup!$D:$D,0))="LEAP","LEAP MONTH - counts as month "&amp;$I154&amp;", flagged for review",""),"")</f>
        <v/>
      </c>
    </row>
    <row r="155" ht="15.75" customHeight="1" s="10">
      <c r="A155" s="6">
        <f>A154+1</f>
        <v/>
      </c>
      <c r="B155" s="1">
        <f>TEXT(A155,"ddd")</f>
        <v/>
      </c>
      <c r="C155" s="1">
        <f>IF($E155=1,"?",C154)</f>
        <v/>
      </c>
      <c r="D155" s="1" t="inlineStr">
        <is>
          <t>初五</t>
        </is>
      </c>
      <c r="E155" s="1">
        <f t="array" ref="E155">_xlfn.XLOOKUP($D155,lookup!$A:$A,lookup!$B:$B)</f>
        <v/>
      </c>
      <c r="F155" s="1" t="n"/>
      <c r="H155" s="5">
        <f>IF($E155="","",IF(OR($E155=8,$E155=14,$E155=15,$E155=23,$E156=1,$E157=1),"Fast day",""))</f>
        <v/>
      </c>
      <c r="I155" s="5">
        <f>IFERROR(INDEX(lookup!$E:$E,MATCH($C155,lookup!$D:$D,0)),"")</f>
        <v/>
      </c>
      <c r="J155" s="5">
        <f>IF($I155="","",IF(OR($I155=1,$I155=5,$I155=9),IF($K155="","Long fast month","Long fast month (LEAP)"),""))</f>
        <v/>
      </c>
      <c r="K155" s="0">
        <f>IFERROR(IF(INDEX(lookup!$G:$G,MATCH($C155,lookup!$D:$D,0))="LEAP","LEAP MONTH - counts as month "&amp;$I155&amp;", flagged for review",""),"")</f>
        <v/>
      </c>
    </row>
    <row r="156" ht="15.75" customHeight="1" s="10">
      <c r="A156" s="6">
        <f>A155+1</f>
        <v/>
      </c>
      <c r="B156" s="1">
        <f>TEXT(A156,"ddd")</f>
        <v/>
      </c>
      <c r="C156" s="1">
        <f>IF($E156=1,"?",C155)</f>
        <v/>
      </c>
      <c r="D156" s="1" t="inlineStr">
        <is>
          <t>初六</t>
        </is>
      </c>
      <c r="E156" s="1">
        <f t="array" ref="E156">_xlfn.XLOOKUP($D156,lookup!$A:$A,lookup!$B:$B)</f>
        <v/>
      </c>
      <c r="F156" s="1" t="n"/>
      <c r="H156" s="5">
        <f>IF($E156="","",IF(OR($E156=8,$E156=14,$E156=15,$E156=23,$E157=1,$E158=1),"Fast day",""))</f>
        <v/>
      </c>
      <c r="I156" s="5">
        <f>IFERROR(INDEX(lookup!$E:$E,MATCH($C156,lookup!$D:$D,0)),"")</f>
        <v/>
      </c>
      <c r="J156" s="5">
        <f>IF($I156="","",IF(OR($I156=1,$I156=5,$I156=9),IF($K156="","Long fast month","Long fast month (LEAP)"),""))</f>
        <v/>
      </c>
      <c r="K156" s="0">
        <f>IFERROR(IF(INDEX(lookup!$G:$G,MATCH($C156,lookup!$D:$D,0))="LEAP","LEAP MONTH - counts as month "&amp;$I156&amp;", flagged for review",""),"")</f>
        <v/>
      </c>
    </row>
    <row r="157" ht="15.75" customHeight="1" s="10">
      <c r="A157" s="6">
        <f>A156+1</f>
        <v/>
      </c>
      <c r="B157" s="1">
        <f>TEXT(A157,"ddd")</f>
        <v/>
      </c>
      <c r="C157" s="1">
        <f>IF($E157=1,"?",C156)</f>
        <v/>
      </c>
      <c r="D157" s="1" t="inlineStr">
        <is>
          <t>初七</t>
        </is>
      </c>
      <c r="E157" s="1">
        <f t="array" ref="E157">_xlfn.XLOOKUP($D157,lookup!$A:$A,lookup!$B:$B)</f>
        <v/>
      </c>
      <c r="F157" s="1" t="n"/>
      <c r="H157" s="5">
        <f>IF($E157="","",IF(OR($E157=8,$E157=14,$E157=15,$E157=23,$E158=1,$E159=1),"Fast day",""))</f>
        <v/>
      </c>
      <c r="I157" s="5">
        <f>IFERROR(INDEX(lookup!$E:$E,MATCH($C157,lookup!$D:$D,0)),"")</f>
        <v/>
      </c>
      <c r="J157" s="5">
        <f>IF($I157="","",IF(OR($I157=1,$I157=5,$I157=9),IF($K157="","Long fast month","Long fast month (LEAP)"),""))</f>
        <v/>
      </c>
      <c r="K157" s="0">
        <f>IFERROR(IF(INDEX(lookup!$G:$G,MATCH($C157,lookup!$D:$D,0))="LEAP","LEAP MONTH - counts as month "&amp;$I157&amp;", flagged for review",""),"")</f>
        <v/>
      </c>
    </row>
    <row r="158" ht="15.75" customHeight="1" s="10">
      <c r="A158" s="6">
        <f>A157+1</f>
        <v/>
      </c>
      <c r="B158" s="1">
        <f>TEXT(A158,"ddd")</f>
        <v/>
      </c>
      <c r="C158" s="1">
        <f>IF($E158=1,"?",C157)</f>
        <v/>
      </c>
      <c r="D158" s="1" t="inlineStr">
        <is>
          <t>初八</t>
        </is>
      </c>
      <c r="E158" s="1">
        <f t="array" ref="E158">_xlfn.XLOOKUP($D158,lookup!$A:$A,lookup!$B:$B)</f>
        <v/>
      </c>
      <c r="F158" s="1" t="n"/>
      <c r="G158" s="3" t="inlineStr">
        <is>
          <t>Anniversary of Shakyamuni Buddha’s Enlightenment</t>
        </is>
      </c>
      <c r="H158" s="5">
        <f>IF($E158="","",IF(OR($E158=8,$E158=14,$E158=15,$E158=23,$E159=1,$E160=1),"Fast day",""))</f>
        <v/>
      </c>
      <c r="I158" s="5">
        <f>IFERROR(INDEX(lookup!$E:$E,MATCH($C158,lookup!$D:$D,0)),"")</f>
        <v/>
      </c>
      <c r="J158" s="5">
        <f>IF($I158="","",IF(OR($I158=1,$I158=5,$I158=9),IF($K158="","Long fast month","Long fast month (LEAP)"),""))</f>
        <v/>
      </c>
      <c r="K158" s="0">
        <f>IFERROR(IF(INDEX(lookup!$G:$G,MATCH($C158,lookup!$D:$D,0))="LEAP","LEAP MONTH - counts as month "&amp;$I158&amp;", flagged for review",""),"")</f>
        <v/>
      </c>
    </row>
    <row r="159" ht="15.75" customHeight="1" s="10">
      <c r="A159" s="6">
        <f>A158+1</f>
        <v/>
      </c>
      <c r="B159" s="1">
        <f>TEXT(A159,"ddd")</f>
        <v/>
      </c>
      <c r="C159" s="1">
        <f>IF($E159=1,"?",C158)</f>
        <v/>
      </c>
      <c r="D159" s="1" t="inlineStr">
        <is>
          <t>初九</t>
        </is>
      </c>
      <c r="E159" s="1">
        <f t="array" ref="E159">_xlfn.XLOOKUP($D159,lookup!$A:$A,lookup!$B:$B)</f>
        <v/>
      </c>
      <c r="F159" s="1" t="n"/>
      <c r="G159" s="3" t="inlineStr">
        <is>
          <t>Chan Meditation</t>
        </is>
      </c>
      <c r="H159" s="5">
        <f>IF($E159="","",IF(OR($E159=8,$E159=14,$E159=15,$E159=23,$E160=1,$E161=1),"Fast day",""))</f>
        <v/>
      </c>
      <c r="I159" s="5">
        <f>IFERROR(INDEX(lookup!$E:$E,MATCH($C159,lookup!$D:$D,0)),"")</f>
        <v/>
      </c>
      <c r="J159" s="5">
        <f>IF($I159="","",IF(OR($I159=1,$I159=5,$I159=9),IF($K159="","Long fast month","Long fast month (LEAP)"),""))</f>
        <v/>
      </c>
      <c r="K159" s="0">
        <f>IFERROR(IF(INDEX(lookup!$G:$G,MATCH($C159,lookup!$D:$D,0))="LEAP","LEAP MONTH - counts as month "&amp;$I159&amp;", flagged for review",""),"")</f>
        <v/>
      </c>
    </row>
    <row r="160" ht="15.75" customHeight="1" s="10">
      <c r="A160" s="6">
        <f>A159+1</f>
        <v/>
      </c>
      <c r="B160" s="1">
        <f>TEXT(A160,"ddd")</f>
        <v/>
      </c>
      <c r="C160" s="1">
        <f>IF($E160=1,"?",C159)</f>
        <v/>
      </c>
      <c r="D160" s="1" t="inlineStr">
        <is>
          <t>初十</t>
        </is>
      </c>
      <c r="E160" s="1">
        <f t="array" ref="E160">_xlfn.XLOOKUP($D160,lookup!$A:$A,lookup!$B:$B)</f>
        <v/>
      </c>
      <c r="F160" s="1" t="n"/>
      <c r="G160" s="3" t="inlineStr">
        <is>
          <t>Monthly Memorial of Venerable Master Hua’s Entering Nirvana</t>
        </is>
      </c>
      <c r="H160" s="5">
        <f>IF($E160="","",IF(OR($E160=8,$E160=14,$E160=15,$E160=23,$E161=1,$E162=1),"Fast day",""))</f>
        <v/>
      </c>
      <c r="I160" s="5">
        <f>IFERROR(INDEX(lookup!$E:$E,MATCH($C160,lookup!$D:$D,0)),"")</f>
        <v/>
      </c>
      <c r="J160" s="5">
        <f>IF($I160="","",IF(OR($I160=1,$I160=5,$I160=9),IF($K160="","Long fast month","Long fast month (LEAP)"),""))</f>
        <v/>
      </c>
      <c r="K160" s="0">
        <f>IFERROR(IF(INDEX(lookup!$G:$G,MATCH($C160,lookup!$D:$D,0))="LEAP","LEAP MONTH - counts as month "&amp;$I160&amp;", flagged for review",""),"")</f>
        <v/>
      </c>
    </row>
    <row r="161" ht="15.75" customHeight="1" s="10">
      <c r="A161" s="6">
        <f>A160+1</f>
        <v/>
      </c>
      <c r="B161" s="1">
        <f>TEXT(A161,"ddd")</f>
        <v/>
      </c>
      <c r="C161" s="1">
        <f>IF($E161=1,"?",C160)</f>
        <v/>
      </c>
      <c r="D161" s="1" t="inlineStr">
        <is>
          <t>十一</t>
        </is>
      </c>
      <c r="E161" s="1">
        <f t="array" ref="E161">_xlfn.XLOOKUP($D161,lookup!$A:$A,lookup!$B:$B)</f>
        <v/>
      </c>
      <c r="F161" s="1" t="n"/>
      <c r="G161" s="3" t="inlineStr">
        <is>
          <t>Martin Luther King Jr. Day (no school)</t>
        </is>
      </c>
      <c r="H161" s="5">
        <f>IF($E161="","",IF(OR($E161=8,$E161=14,$E161=15,$E161=23,$E162=1,$E163=1),"Fast day",""))</f>
        <v/>
      </c>
      <c r="I161" s="5">
        <f>IFERROR(INDEX(lookup!$E:$E,MATCH($C161,lookup!$D:$D,0)),"")</f>
        <v/>
      </c>
      <c r="J161" s="5">
        <f>IF($I161="","",IF(OR($I161=1,$I161=5,$I161=9),IF($K161="","Long fast month","Long fast month (LEAP)"),""))</f>
        <v/>
      </c>
      <c r="K161" s="0">
        <f>IFERROR(IF(INDEX(lookup!$G:$G,MATCH($C161,lookup!$D:$D,0))="LEAP","LEAP MONTH - counts as month "&amp;$I161&amp;", flagged for review",""),"")</f>
        <v/>
      </c>
    </row>
    <row r="162" ht="15.75" customHeight="1" s="10">
      <c r="A162" s="6">
        <f>A161+1</f>
        <v/>
      </c>
      <c r="B162" s="1">
        <f>TEXT(A162,"ddd")</f>
        <v/>
      </c>
      <c r="C162" s="1">
        <f>IF($E162=1,"?",C161)</f>
        <v/>
      </c>
      <c r="D162" s="1" t="inlineStr">
        <is>
          <t>十二</t>
        </is>
      </c>
      <c r="E162" s="1">
        <f t="array" ref="E162">_xlfn.XLOOKUP($D162,lookup!$A:$A,lookup!$B:$B)</f>
        <v/>
      </c>
      <c r="F162" s="1" t="n"/>
      <c r="H162" s="5">
        <f>IF($E162="","",IF(OR($E162=8,$E162=14,$E162=15,$E162=23,$E163=1,$E164=1),"Fast day",""))</f>
        <v/>
      </c>
      <c r="I162" s="5">
        <f>IFERROR(INDEX(lookup!$E:$E,MATCH($C162,lookup!$D:$D,0)),"")</f>
        <v/>
      </c>
      <c r="J162" s="5">
        <f>IF($I162="","",IF(OR($I162=1,$I162=5,$I162=9),IF($K162="","Long fast month","Long fast month (LEAP)"),""))</f>
        <v/>
      </c>
      <c r="K162" s="0">
        <f>IFERROR(IF(INDEX(lookup!$G:$G,MATCH($C162,lookup!$D:$D,0))="LEAP","LEAP MONTH - counts as month "&amp;$I162&amp;", flagged for review",""),"")</f>
        <v/>
      </c>
    </row>
    <row r="163" ht="15.75" customHeight="1" s="10">
      <c r="A163" s="6">
        <f>A162+1</f>
        <v/>
      </c>
      <c r="B163" s="1">
        <f>TEXT(A163,"ddd")</f>
        <v/>
      </c>
      <c r="C163" s="1">
        <f>IF($E163=1,"?",C162)</f>
        <v/>
      </c>
      <c r="D163" s="1" t="inlineStr">
        <is>
          <t>十三</t>
        </is>
      </c>
      <c r="E163" s="1">
        <f t="array" ref="E163">_xlfn.XLOOKUP($D163,lookup!$A:$A,lookup!$B:$B)</f>
        <v/>
      </c>
      <c r="F163" s="1" t="n"/>
      <c r="H163" s="5">
        <f>IF($E163="","",IF(OR($E163=8,$E163=14,$E163=15,$E163=23,$E164=1,$E165=1),"Fast day",""))</f>
        <v/>
      </c>
      <c r="I163" s="5">
        <f>IFERROR(INDEX(lookup!$E:$E,MATCH($C163,lookup!$D:$D,0)),"")</f>
        <v/>
      </c>
      <c r="J163" s="5">
        <f>IF($I163="","",IF(OR($I163=1,$I163=5,$I163=9),IF($K163="","Long fast month","Long fast month (LEAP)"),""))</f>
        <v/>
      </c>
      <c r="K163" s="0">
        <f>IFERROR(IF(INDEX(lookup!$G:$G,MATCH($C163,lookup!$D:$D,0))="LEAP","LEAP MONTH - counts as month "&amp;$I163&amp;", flagged for review",""),"")</f>
        <v/>
      </c>
    </row>
    <row r="164" ht="15.75" customHeight="1" s="10">
      <c r="A164" s="6">
        <f>A163+1</f>
        <v/>
      </c>
      <c r="B164" s="1">
        <f>TEXT(A164,"ddd")</f>
        <v/>
      </c>
      <c r="C164" s="1">
        <f>IF($E164=1,"?",C163)</f>
        <v/>
      </c>
      <c r="D164" s="1" t="inlineStr">
        <is>
          <t>十四</t>
        </is>
      </c>
      <c r="E164" s="1">
        <f t="array" ref="E164">_xlfn.XLOOKUP($D164,lookup!$A:$A,lookup!$B:$B)</f>
        <v/>
      </c>
      <c r="F164" s="1" t="n"/>
      <c r="H164" s="5">
        <f>IF($E164="","",IF(OR($E164=8,$E164=14,$E164=15,$E164=23,$E165=1,$E166=1),"Fast day",""))</f>
        <v/>
      </c>
      <c r="I164" s="5">
        <f>IFERROR(INDEX(lookup!$E:$E,MATCH($C164,lookup!$D:$D,0)),"")</f>
        <v/>
      </c>
      <c r="J164" s="5">
        <f>IF($I164="","",IF(OR($I164=1,$I164=5,$I164=9),IF($K164="","Long fast month","Long fast month (LEAP)"),""))</f>
        <v/>
      </c>
      <c r="K164" s="0">
        <f>IFERROR(IF(INDEX(lookup!$G:$G,MATCH($C164,lookup!$D:$D,0))="LEAP","LEAP MONTH - counts as month "&amp;$I164&amp;", flagged for review",""),"")</f>
        <v/>
      </c>
    </row>
    <row r="165" ht="15.75" customHeight="1" s="10">
      <c r="A165" s="6">
        <f>A164+1</f>
        <v/>
      </c>
      <c r="B165" s="1">
        <f>TEXT(A165,"ddd")</f>
        <v/>
      </c>
      <c r="C165" s="1" t="inlineStr">
        <is>
          <t>十二月</t>
        </is>
      </c>
      <c r="D165" s="1" t="inlineStr">
        <is>
          <t>十五</t>
        </is>
      </c>
      <c r="E165" s="1">
        <f t="array" ref="E165">_xlfn.XLOOKUP($D165,lookup!$A:$A,lookup!$B:$B)</f>
        <v/>
      </c>
      <c r="F165" s="1" t="inlineStr">
        <is>
          <t>Full</t>
        </is>
      </c>
      <c r="H165" s="5">
        <f>IF($E165="","",IF(OR($E165=8,$E165=14,$E165=15,$E165=23,$E166=1,$E167=1),"Fast day",""))</f>
        <v/>
      </c>
      <c r="I165" s="5">
        <f>IFERROR(INDEX(lookup!$E:$E,MATCH($C165,lookup!$D:$D,0)),"")</f>
        <v/>
      </c>
      <c r="J165" s="5">
        <f>IF($I165="","",IF(OR($I165=1,$I165=5,$I165=9),IF($K165="","Long fast month","Long fast month (LEAP)"),""))</f>
        <v/>
      </c>
      <c r="K165" s="0">
        <f>IFERROR(IF(INDEX(lookup!$G:$G,MATCH($C165,lookup!$D:$D,0))="LEAP","LEAP MONTH - counts as month "&amp;$I165&amp;", flagged for review",""),"")</f>
        <v/>
      </c>
    </row>
    <row r="166" ht="15.75" customHeight="1" s="10">
      <c r="A166" s="6">
        <f>A165+1</f>
        <v/>
      </c>
      <c r="B166" s="1">
        <f>TEXT(A166,"ddd")</f>
        <v/>
      </c>
      <c r="C166" s="1">
        <f>IF($E166=1,"?",C165)</f>
        <v/>
      </c>
      <c r="D166" s="1" t="inlineStr">
        <is>
          <t>十六</t>
        </is>
      </c>
      <c r="E166" s="1">
        <f t="array" ref="E166">_xlfn.XLOOKUP($D166,lookup!$A:$A,lookup!$B:$B)</f>
        <v/>
      </c>
      <c r="F166" s="1" t="n"/>
      <c r="H166" s="5">
        <f>IF($E166="","",IF(OR($E166=8,$E166=14,$E166=15,$E166=23,$E167=1,$E168=1),"Fast day",""))</f>
        <v/>
      </c>
      <c r="I166" s="5">
        <f>IFERROR(INDEX(lookup!$E:$E,MATCH($C166,lookup!$D:$D,0)),"")</f>
        <v/>
      </c>
      <c r="J166" s="5">
        <f>IF($I166="","",IF(OR($I166=1,$I166=5,$I166=9),IF($K166="","Long fast month","Long fast month (LEAP)"),""))</f>
        <v/>
      </c>
      <c r="K166" s="0">
        <f>IFERROR(IF(INDEX(lookup!$G:$G,MATCH($C166,lookup!$D:$D,0))="LEAP","LEAP MONTH - counts as month "&amp;$I166&amp;", flagged for review",""),"")</f>
        <v/>
      </c>
    </row>
    <row r="167" ht="15.75" customHeight="1" s="10">
      <c r="A167" s="6">
        <f>A166+1</f>
        <v/>
      </c>
      <c r="B167" s="1">
        <f>TEXT(A167,"ddd")</f>
        <v/>
      </c>
      <c r="C167" s="1">
        <f>IF($E167=1,"?",C166)</f>
        <v/>
      </c>
      <c r="D167" s="1" t="inlineStr">
        <is>
          <t>十七</t>
        </is>
      </c>
      <c r="E167" s="1">
        <f t="array" ref="E167">_xlfn.XLOOKUP($D167,lookup!$A:$A,lookup!$B:$B)</f>
        <v/>
      </c>
      <c r="F167" s="1" t="n"/>
      <c r="H167" s="5">
        <f>IF($E167="","",IF(OR($E167=8,$E167=14,$E167=15,$E167=23,$E168=1,$E169=1),"Fast day",""))</f>
        <v/>
      </c>
      <c r="I167" s="5">
        <f>IFERROR(INDEX(lookup!$E:$E,MATCH($C167,lookup!$D:$D,0)),"")</f>
        <v/>
      </c>
      <c r="J167" s="5">
        <f>IF($I167="","",IF(OR($I167=1,$I167=5,$I167=9),IF($K167="","Long fast month","Long fast month (LEAP)"),""))</f>
        <v/>
      </c>
      <c r="K167" s="0">
        <f>IFERROR(IF(INDEX(lookup!$G:$G,MATCH($C167,lookup!$D:$D,0))="LEAP","LEAP MONTH - counts as month "&amp;$I167&amp;", flagged for review",""),"")</f>
        <v/>
      </c>
    </row>
    <row r="168" ht="15.75" customHeight="1" s="10">
      <c r="A168" s="6">
        <f>A167+1</f>
        <v/>
      </c>
      <c r="B168" s="1">
        <f>TEXT(A168,"ddd")</f>
        <v/>
      </c>
      <c r="C168" s="1">
        <f>IF($E168=1,"?",C167)</f>
        <v/>
      </c>
      <c r="D168" s="1" t="inlineStr">
        <is>
          <t>十八</t>
        </is>
      </c>
      <c r="E168" s="1">
        <f t="array" ref="E168">_xlfn.XLOOKUP($D168,lookup!$A:$A,lookup!$B:$B)</f>
        <v/>
      </c>
      <c r="F168" s="1" t="n"/>
      <c r="H168" s="5">
        <f>IF($E168="","",IF(OR($E168=8,$E168=14,$E168=15,$E168=23,$E169=1,$E170=1),"Fast day",""))</f>
        <v/>
      </c>
      <c r="I168" s="5">
        <f>IFERROR(INDEX(lookup!$E:$E,MATCH($C168,lookup!$D:$D,0)),"")</f>
        <v/>
      </c>
      <c r="J168" s="5">
        <f>IF($I168="","",IF(OR($I168=1,$I168=5,$I168=9),IF($K168="","Long fast month","Long fast month (LEAP)"),""))</f>
        <v/>
      </c>
      <c r="K168" s="0">
        <f>IFERROR(IF(INDEX(lookup!$G:$G,MATCH($C168,lookup!$D:$D,0))="LEAP","LEAP MONTH - counts as month "&amp;$I168&amp;", flagged for review",""),"")</f>
        <v/>
      </c>
    </row>
    <row r="169" ht="15.75" customHeight="1" s="10">
      <c r="A169" s="6">
        <f>A168+1</f>
        <v/>
      </c>
      <c r="B169" s="1">
        <f>TEXT(A169,"ddd")</f>
        <v/>
      </c>
      <c r="C169" s="1">
        <f>IF($E169=1,"?",C168)</f>
        <v/>
      </c>
      <c r="D169" s="1" t="inlineStr">
        <is>
          <t>十九</t>
        </is>
      </c>
      <c r="E169" s="1">
        <f t="array" ref="E169">_xlfn.XLOOKUP($D169,lookup!$A:$A,lookup!$B:$B)</f>
        <v/>
      </c>
      <c r="F169" s="1" t="n"/>
      <c r="H169" s="5">
        <f>IF($E169="","",IF(OR($E169=8,$E169=14,$E169=15,$E169=23,$E170=1,$E171=1),"Fast day",""))</f>
        <v/>
      </c>
      <c r="I169" s="5">
        <f>IFERROR(INDEX(lookup!$E:$E,MATCH($C169,lookup!$D:$D,0)),"")</f>
        <v/>
      </c>
      <c r="J169" s="5">
        <f>IF($I169="","",IF(OR($I169=1,$I169=5,$I169=9),IF($K169="","Long fast month","Long fast month (LEAP)"),""))</f>
        <v/>
      </c>
      <c r="K169" s="0">
        <f>IFERROR(IF(INDEX(lookup!$G:$G,MATCH($C169,lookup!$D:$D,0))="LEAP","LEAP MONTH - counts as month "&amp;$I169&amp;", flagged for review",""),"")</f>
        <v/>
      </c>
    </row>
    <row r="170" ht="15.75" customHeight="1" s="10">
      <c r="A170" s="6">
        <f>A169+1</f>
        <v/>
      </c>
      <c r="B170" s="1">
        <f>TEXT(A170,"ddd")</f>
        <v/>
      </c>
      <c r="C170" s="1">
        <f>IF($E170=1,"?",C169)</f>
        <v/>
      </c>
      <c r="D170" s="1" t="inlineStr">
        <is>
          <t>二十</t>
        </is>
      </c>
      <c r="E170" s="1">
        <f t="array" ref="E170">_xlfn.XLOOKUP($D170,lookup!$A:$A,lookup!$B:$B)</f>
        <v/>
      </c>
      <c r="F170" s="1" t="n"/>
      <c r="H170" s="5">
        <f>IF($E170="","",IF(OR($E170=8,$E170=14,$E170=15,$E170=23,$E171=1,$E172=1),"Fast day",""))</f>
        <v/>
      </c>
      <c r="I170" s="5">
        <f>IFERROR(INDEX(lookup!$E:$E,MATCH($C170,lookup!$D:$D,0)),"")</f>
        <v/>
      </c>
      <c r="J170" s="5">
        <f>IF($I170="","",IF(OR($I170=1,$I170=5,$I170=9),IF($K170="","Long fast month","Long fast month (LEAP)"),""))</f>
        <v/>
      </c>
      <c r="K170" s="0">
        <f>IFERROR(IF(INDEX(lookup!$G:$G,MATCH($C170,lookup!$D:$D,0))="LEAP","LEAP MONTH - counts as month "&amp;$I170&amp;", flagged for review",""),"")</f>
        <v/>
      </c>
    </row>
    <row r="171" ht="15.75" customHeight="1" s="10">
      <c r="A171" s="6">
        <f>A170+1</f>
        <v/>
      </c>
      <c r="B171" s="1">
        <f>TEXT(A171,"ddd")</f>
        <v/>
      </c>
      <c r="C171" s="1">
        <f>IF($E171=1,"?",C170)</f>
        <v/>
      </c>
      <c r="D171" s="1" t="inlineStr">
        <is>
          <t>廿一</t>
        </is>
      </c>
      <c r="E171" s="1">
        <f t="array" ref="E171">_xlfn.XLOOKUP($D171,lookup!$A:$A,lookup!$B:$B)</f>
        <v/>
      </c>
      <c r="F171" s="1" t="n"/>
      <c r="H171" s="5">
        <f>IF($E171="","",IF(OR($E171=8,$E171=14,$E171=15,$E171=23,$E172=1,$E173=1),"Fast day",""))</f>
        <v/>
      </c>
      <c r="I171" s="5">
        <f>IFERROR(INDEX(lookup!$E:$E,MATCH($C171,lookup!$D:$D,0)),"")</f>
        <v/>
      </c>
      <c r="J171" s="5">
        <f>IF($I171="","",IF(OR($I171=1,$I171=5,$I171=9),IF($K171="","Long fast month","Long fast month (LEAP)"),""))</f>
        <v/>
      </c>
      <c r="K171" s="0">
        <f>IFERROR(IF(INDEX(lookup!$G:$G,MATCH($C171,lookup!$D:$D,0))="LEAP","LEAP MONTH - counts as month "&amp;$I171&amp;", flagged for review",""),"")</f>
        <v/>
      </c>
    </row>
    <row r="172" ht="15.75" customHeight="1" s="10">
      <c r="A172" s="6">
        <f>A171+1</f>
        <v/>
      </c>
      <c r="B172" s="1">
        <f>TEXT(A172,"ddd")</f>
        <v/>
      </c>
      <c r="C172" s="1">
        <f>IF($E172=1,"?",C171)</f>
        <v/>
      </c>
      <c r="D172" s="1" t="inlineStr">
        <is>
          <t>廿二</t>
        </is>
      </c>
      <c r="E172" s="1">
        <f t="array" ref="E172">_xlfn.XLOOKUP($D172,lookup!$A:$A,lookup!$B:$B)</f>
        <v/>
      </c>
      <c r="F172" s="1" t="n"/>
      <c r="H172" s="5">
        <f>IF($E172="","",IF(OR($E172=8,$E172=14,$E172=15,$E172=23,$E173=1,$E174=1),"Fast day",""))</f>
        <v/>
      </c>
      <c r="I172" s="5">
        <f>IFERROR(INDEX(lookup!$E:$E,MATCH($C172,lookup!$D:$D,0)),"")</f>
        <v/>
      </c>
      <c r="J172" s="5">
        <f>IF($I172="","",IF(OR($I172=1,$I172=5,$I172=9),IF($K172="","Long fast month","Long fast month (LEAP)"),""))</f>
        <v/>
      </c>
      <c r="K172" s="0">
        <f>IFERROR(IF(INDEX(lookup!$G:$G,MATCH($C172,lookup!$D:$D,0))="LEAP","LEAP MONTH - counts as month "&amp;$I172&amp;", flagged for review",""),"")</f>
        <v/>
      </c>
    </row>
    <row r="173" ht="15.75" customHeight="1" s="10">
      <c r="A173" s="6">
        <f>A172+1</f>
        <v/>
      </c>
      <c r="B173" s="1">
        <f>TEXT(A173,"ddd")</f>
        <v/>
      </c>
      <c r="C173" s="1">
        <f>IF($E173=1,"?",C172)</f>
        <v/>
      </c>
      <c r="D173" s="1" t="inlineStr">
        <is>
          <t>廿三</t>
        </is>
      </c>
      <c r="E173" s="1">
        <f t="array" ref="E173">_xlfn.XLOOKUP($D173,lookup!$A:$A,lookup!$B:$B)</f>
        <v/>
      </c>
      <c r="F173" s="1" t="n"/>
      <c r="H173" s="5">
        <f>IF($E173="","",IF(OR($E173=8,$E173=14,$E173=15,$E173=23,$E174=1,hko_extended!$E2=1),"Fast day",""))</f>
        <v/>
      </c>
      <c r="I173" s="5">
        <f>IFERROR(INDEX(lookup!$E:$E,MATCH($C173,lookup!$D:$D,0)),"")</f>
        <v/>
      </c>
      <c r="J173" s="5">
        <f>IF($I173="","",IF(OR($I173=1,$I173=5,$I173=9),IF($K173="","Long fast month","Long fast month (LEAP)"),""))</f>
        <v/>
      </c>
      <c r="K173" s="0">
        <f>IFERROR(IF(INDEX(lookup!$G:$G,MATCH($C173,lookup!$D:$D,0))="LEAP","LEAP MONTH - counts as month "&amp;$I173&amp;", flagged for review",""),"")</f>
        <v/>
      </c>
    </row>
    <row r="174" ht="15.75" customHeight="1" s="10">
      <c r="A174" s="6">
        <f>A173+1</f>
        <v/>
      </c>
      <c r="B174" s="1">
        <f>TEXT(A174,"ddd")</f>
        <v/>
      </c>
      <c r="C174" s="1">
        <f>IF($E174=1,"?",C173)</f>
        <v/>
      </c>
      <c r="D174" s="1" t="inlineStr">
        <is>
          <t>廿四</t>
        </is>
      </c>
      <c r="E174" s="1">
        <f t="array" ref="E174">_xlfn.XLOOKUP($D174,lookup!$A:$A,lookup!$B:$B)</f>
        <v/>
      </c>
      <c r="F174" s="1" t="n"/>
      <c r="H174" s="5">
        <f>IF($E174="","",IF(OR($E174=8,$E174=14,$E174=15,$E174=23,hko_extended!$E2=1,hko_extended!$E3=1),"Fast day",""))</f>
        <v/>
      </c>
      <c r="I174" s="5">
        <f>IFERROR(INDEX(lookup!$E:$E,MATCH($C174,lookup!$D:$D,0)),"")</f>
        <v/>
      </c>
      <c r="J174" s="5">
        <f>IF($I174="","",IF(OR($I174=1,$I174=5,$I174=9),IF($K174="","Long fast month","Long fast month (LEAP)"),""))</f>
        <v/>
      </c>
      <c r="K174" s="0">
        <f>IFERROR(IF(INDEX(lookup!$G:$G,MATCH($C174,lookup!$D:$D,0))="LEAP","LEAP MONTH - counts as month "&amp;$I174&amp;", flagged for review",""),"")</f>
        <v/>
      </c>
    </row>
    <row r="175" ht="15.75" customHeight="1" s="10">
      <c r="H175" s="7" t="n"/>
      <c r="I175" s="7" t="n"/>
      <c r="J175" s="7" t="n"/>
    </row>
    <row r="176" ht="15.75" customHeight="1" s="10">
      <c r="H176" s="7" t="n"/>
      <c r="I176" s="7" t="n"/>
      <c r="J176" s="7" t="n"/>
    </row>
    <row r="177" ht="15.75" customHeight="1" s="10">
      <c r="H177" s="7" t="n"/>
      <c r="I177" s="7" t="n"/>
      <c r="J177" s="7" t="n"/>
    </row>
    <row r="178" ht="15.75" customHeight="1" s="10">
      <c r="H178" s="7" t="n"/>
      <c r="I178" s="7" t="n"/>
      <c r="J178" s="7" t="n"/>
    </row>
    <row r="179" ht="15.75" customHeight="1" s="10">
      <c r="H179" s="7" t="n"/>
      <c r="I179" s="7" t="n"/>
      <c r="J179" s="7" t="n"/>
    </row>
    <row r="180" ht="15.75" customHeight="1" s="10">
      <c r="H180" s="7" t="n"/>
      <c r="I180" s="7" t="n"/>
      <c r="J180" s="7" t="n"/>
    </row>
    <row r="181" ht="15.75" customHeight="1" s="10">
      <c r="H181" s="7" t="n"/>
      <c r="I181" s="7" t="n"/>
      <c r="J181" s="7" t="n"/>
    </row>
    <row r="182" ht="15.75" customHeight="1" s="10">
      <c r="H182" s="7" t="n"/>
      <c r="I182" s="7" t="n"/>
      <c r="J182" s="7" t="n"/>
    </row>
    <row r="183" ht="15.75" customHeight="1" s="10">
      <c r="H183" s="7" t="n"/>
      <c r="I183" s="7" t="n"/>
      <c r="J183" s="7" t="n"/>
    </row>
    <row r="184" ht="15.75" customHeight="1" s="10">
      <c r="H184" s="7" t="n"/>
      <c r="I184" s="7" t="n"/>
      <c r="J184" s="7" t="n"/>
    </row>
    <row r="185" ht="15.75" customHeight="1" s="10">
      <c r="H185" s="7" t="n"/>
      <c r="I185" s="7" t="n"/>
      <c r="J185" s="7" t="n"/>
    </row>
    <row r="186" ht="15.75" customHeight="1" s="10">
      <c r="H186" s="7" t="n"/>
      <c r="I186" s="7" t="n"/>
      <c r="J186" s="7" t="n"/>
    </row>
    <row r="187" ht="15.75" customHeight="1" s="10">
      <c r="H187" s="7" t="n"/>
      <c r="I187" s="7" t="n"/>
      <c r="J187" s="7" t="n"/>
    </row>
    <row r="188" ht="15.75" customHeight="1" s="10">
      <c r="H188" s="7" t="n"/>
      <c r="I188" s="7" t="n"/>
      <c r="J188" s="7" t="n"/>
    </row>
    <row r="189" ht="15.75" customHeight="1" s="10">
      <c r="H189" s="7" t="n"/>
      <c r="I189" s="7" t="n"/>
      <c r="J189" s="7" t="n"/>
    </row>
    <row r="190" ht="15.75" customHeight="1" s="10">
      <c r="H190" s="7" t="n"/>
      <c r="I190" s="7" t="n"/>
      <c r="J190" s="7" t="n"/>
    </row>
    <row r="191" ht="15.75" customHeight="1" s="10">
      <c r="H191" s="7" t="n"/>
      <c r="I191" s="7" t="n"/>
      <c r="J191" s="7" t="n"/>
    </row>
    <row r="192" ht="15.75" customHeight="1" s="10">
      <c r="H192" s="7" t="n"/>
      <c r="I192" s="7" t="n"/>
      <c r="J192" s="7" t="n"/>
    </row>
    <row r="193" ht="15.75" customHeight="1" s="10">
      <c r="H193" s="7" t="n"/>
      <c r="I193" s="7" t="n"/>
      <c r="J193" s="7" t="n"/>
    </row>
    <row r="194" ht="15.75" customHeight="1" s="10">
      <c r="H194" s="7" t="n"/>
      <c r="I194" s="7" t="n"/>
      <c r="J194" s="7" t="n"/>
    </row>
    <row r="195" ht="15.75" customHeight="1" s="10">
      <c r="H195" s="7" t="n"/>
      <c r="I195" s="7" t="n"/>
      <c r="J195" s="7" t="n"/>
    </row>
    <row r="196" ht="15.75" customHeight="1" s="10">
      <c r="H196" s="7" t="n"/>
      <c r="I196" s="7" t="n"/>
      <c r="J196" s="7" t="n"/>
    </row>
    <row r="197" ht="15.75" customHeight="1" s="10">
      <c r="H197" s="7" t="n"/>
      <c r="I197" s="7" t="n"/>
      <c r="J197" s="7" t="n"/>
    </row>
    <row r="198" ht="15.75" customHeight="1" s="10">
      <c r="H198" s="7" t="n"/>
      <c r="I198" s="7" t="n"/>
      <c r="J198" s="7" t="n"/>
    </row>
    <row r="199" ht="15.75" customHeight="1" s="10">
      <c r="H199" s="7" t="n"/>
      <c r="I199" s="7" t="n"/>
      <c r="J199" s="7" t="n"/>
    </row>
    <row r="200" ht="15.75" customHeight="1" s="10">
      <c r="H200" s="7" t="n"/>
      <c r="I200" s="7" t="n"/>
      <c r="J200" s="7" t="n"/>
    </row>
    <row r="201" ht="15.75" customHeight="1" s="10">
      <c r="H201" s="7" t="n"/>
      <c r="I201" s="7" t="n"/>
      <c r="J201" s="7" t="n"/>
    </row>
    <row r="202" ht="15.75" customHeight="1" s="10">
      <c r="H202" s="7" t="n"/>
      <c r="I202" s="7" t="n"/>
      <c r="J202" s="7" t="n"/>
    </row>
    <row r="203" ht="15.75" customHeight="1" s="10">
      <c r="H203" s="7" t="n"/>
      <c r="I203" s="7" t="n"/>
      <c r="J203" s="7" t="n"/>
    </row>
    <row r="204" ht="15.75" customHeight="1" s="10">
      <c r="H204" s="7" t="n"/>
      <c r="I204" s="7" t="n"/>
      <c r="J204" s="7" t="n"/>
    </row>
    <row r="205" ht="15.75" customHeight="1" s="10">
      <c r="H205" s="7" t="n"/>
      <c r="I205" s="7" t="n"/>
      <c r="J205" s="7" t="n"/>
    </row>
    <row r="206" ht="15.75" customHeight="1" s="10">
      <c r="H206" s="7" t="n"/>
      <c r="I206" s="7" t="n"/>
      <c r="J206" s="7" t="n"/>
    </row>
    <row r="207" ht="15.75" customHeight="1" s="10">
      <c r="H207" s="7" t="n"/>
      <c r="I207" s="7" t="n"/>
      <c r="J207" s="7" t="n"/>
    </row>
    <row r="208" ht="15.75" customHeight="1" s="10">
      <c r="H208" s="7" t="n"/>
      <c r="I208" s="7" t="n"/>
      <c r="J208" s="7" t="n"/>
    </row>
    <row r="209" ht="15.75" customHeight="1" s="10">
      <c r="H209" s="7" t="n"/>
      <c r="I209" s="7" t="n"/>
      <c r="J209" s="7" t="n"/>
    </row>
    <row r="210" ht="15.75" customHeight="1" s="10">
      <c r="H210" s="7" t="n"/>
      <c r="I210" s="7" t="n"/>
      <c r="J210" s="7" t="n"/>
    </row>
    <row r="211" ht="15.75" customHeight="1" s="10">
      <c r="H211" s="7" t="n"/>
      <c r="I211" s="7" t="n"/>
      <c r="J211" s="7" t="n"/>
    </row>
    <row r="212" ht="15.75" customHeight="1" s="10">
      <c r="H212" s="7" t="n"/>
      <c r="I212" s="7" t="n"/>
      <c r="J212" s="7" t="n"/>
    </row>
    <row r="213" ht="15.75" customHeight="1" s="10">
      <c r="H213" s="7" t="n"/>
      <c r="I213" s="7" t="n"/>
      <c r="J213" s="7" t="n"/>
    </row>
    <row r="214" ht="15.75" customHeight="1" s="10">
      <c r="H214" s="7" t="n"/>
      <c r="I214" s="7" t="n"/>
      <c r="J214" s="7" t="n"/>
    </row>
    <row r="215" ht="15.75" customHeight="1" s="10">
      <c r="H215" s="7" t="n"/>
      <c r="I215" s="7" t="n"/>
      <c r="J215" s="7" t="n"/>
    </row>
    <row r="216" ht="15.75" customHeight="1" s="10">
      <c r="H216" s="7" t="n"/>
      <c r="I216" s="7" t="n"/>
      <c r="J216" s="7" t="n"/>
    </row>
    <row r="217" ht="15.75" customHeight="1" s="10">
      <c r="H217" s="7" t="n"/>
      <c r="I217" s="7" t="n"/>
      <c r="J217" s="7" t="n"/>
    </row>
    <row r="218" ht="15.75" customHeight="1" s="10">
      <c r="H218" s="7" t="n"/>
      <c r="I218" s="7" t="n"/>
      <c r="J218" s="7" t="n"/>
    </row>
    <row r="219" ht="15.75" customHeight="1" s="10">
      <c r="H219" s="7" t="n"/>
      <c r="I219" s="7" t="n"/>
      <c r="J219" s="7" t="n"/>
    </row>
    <row r="220" ht="15.75" customHeight="1" s="10">
      <c r="H220" s="7" t="n"/>
      <c r="I220" s="7" t="n"/>
      <c r="J220" s="7" t="n"/>
    </row>
    <row r="221" ht="15.75" customHeight="1" s="10">
      <c r="H221" s="7" t="n"/>
      <c r="I221" s="7" t="n"/>
      <c r="J221" s="7" t="n"/>
    </row>
    <row r="222" ht="15.75" customHeight="1" s="10">
      <c r="H222" s="7" t="n"/>
      <c r="I222" s="7" t="n"/>
      <c r="J222" s="7" t="n"/>
    </row>
    <row r="223" ht="15.75" customHeight="1" s="10">
      <c r="H223" s="7" t="n"/>
      <c r="I223" s="7" t="n"/>
      <c r="J223" s="7" t="n"/>
    </row>
    <row r="224" ht="15.75" customHeight="1" s="10">
      <c r="H224" s="7" t="n"/>
      <c r="I224" s="7" t="n"/>
      <c r="J224" s="7" t="n"/>
    </row>
    <row r="225" ht="15.75" customHeight="1" s="10">
      <c r="H225" s="7" t="n"/>
      <c r="I225" s="7" t="n"/>
      <c r="J225" s="7" t="n"/>
    </row>
    <row r="226" ht="15.75" customHeight="1" s="10">
      <c r="H226" s="7" t="n"/>
      <c r="I226" s="7" t="n"/>
      <c r="J226" s="7" t="n"/>
    </row>
    <row r="227" ht="15.75" customHeight="1" s="10">
      <c r="H227" s="7" t="n"/>
      <c r="I227" s="7" t="n"/>
      <c r="J227" s="7" t="n"/>
    </row>
    <row r="228" ht="15.75" customHeight="1" s="10">
      <c r="H228" s="7" t="n"/>
      <c r="I228" s="7" t="n"/>
      <c r="J228" s="7" t="n"/>
    </row>
    <row r="229" ht="15.75" customHeight="1" s="10">
      <c r="H229" s="7" t="n"/>
      <c r="I229" s="7" t="n"/>
      <c r="J229" s="7" t="n"/>
    </row>
    <row r="230" ht="15.75" customHeight="1" s="10">
      <c r="H230" s="7" t="n"/>
      <c r="I230" s="7" t="n"/>
      <c r="J230" s="7" t="n"/>
    </row>
    <row r="231" ht="15.75" customHeight="1" s="10">
      <c r="H231" s="7" t="n"/>
      <c r="I231" s="7" t="n"/>
      <c r="J231" s="7" t="n"/>
    </row>
    <row r="232" ht="15.75" customHeight="1" s="10">
      <c r="H232" s="7" t="n"/>
      <c r="I232" s="7" t="n"/>
      <c r="J232" s="7" t="n"/>
    </row>
    <row r="233" ht="15.75" customHeight="1" s="10">
      <c r="H233" s="7" t="n"/>
      <c r="I233" s="7" t="n"/>
      <c r="J233" s="7" t="n"/>
    </row>
    <row r="234" ht="15.75" customHeight="1" s="10">
      <c r="H234" s="7" t="n"/>
      <c r="I234" s="7" t="n"/>
      <c r="J234" s="7" t="n"/>
    </row>
    <row r="235" ht="15.75" customHeight="1" s="10">
      <c r="H235" s="7" t="n"/>
      <c r="I235" s="7" t="n"/>
      <c r="J235" s="7" t="n"/>
    </row>
    <row r="236" ht="15.75" customHeight="1" s="10">
      <c r="H236" s="7" t="n"/>
      <c r="I236" s="7" t="n"/>
      <c r="J236" s="7" t="n"/>
    </row>
    <row r="237" ht="15.75" customHeight="1" s="10">
      <c r="H237" s="7" t="n"/>
      <c r="I237" s="7" t="n"/>
      <c r="J237" s="7" t="n"/>
    </row>
    <row r="238" ht="15.75" customHeight="1" s="10">
      <c r="H238" s="7" t="n"/>
      <c r="I238" s="7" t="n"/>
      <c r="J238" s="7" t="n"/>
    </row>
    <row r="239" ht="15.75" customHeight="1" s="10">
      <c r="H239" s="7" t="n"/>
      <c r="I239" s="7" t="n"/>
      <c r="J239" s="7" t="n"/>
    </row>
    <row r="240" ht="15.75" customHeight="1" s="10">
      <c r="H240" s="7" t="n"/>
      <c r="I240" s="7" t="n"/>
      <c r="J240" s="7" t="n"/>
    </row>
    <row r="241" ht="15.75" customHeight="1" s="10">
      <c r="H241" s="7" t="n"/>
      <c r="I241" s="7" t="n"/>
      <c r="J241" s="7" t="n"/>
    </row>
    <row r="242" ht="15.75" customHeight="1" s="10">
      <c r="H242" s="7" t="n"/>
      <c r="I242" s="7" t="n"/>
      <c r="J242" s="7" t="n"/>
    </row>
    <row r="243" ht="15.75" customHeight="1" s="10">
      <c r="H243" s="7" t="n"/>
      <c r="I243" s="7" t="n"/>
      <c r="J243" s="7" t="n"/>
    </row>
    <row r="244" ht="15.75" customHeight="1" s="10">
      <c r="H244" s="7" t="n"/>
      <c r="I244" s="7" t="n"/>
      <c r="J244" s="7" t="n"/>
    </row>
    <row r="245" ht="15.75" customHeight="1" s="10">
      <c r="H245" s="7" t="n"/>
      <c r="I245" s="7" t="n"/>
      <c r="J245" s="7" t="n"/>
    </row>
    <row r="246" ht="15.75" customHeight="1" s="10">
      <c r="H246" s="7" t="n"/>
      <c r="I246" s="7" t="n"/>
      <c r="J246" s="7" t="n"/>
    </row>
    <row r="247" ht="15.75" customHeight="1" s="10">
      <c r="H247" s="7" t="n"/>
      <c r="I247" s="7" t="n"/>
      <c r="J247" s="7" t="n"/>
    </row>
    <row r="248" ht="15.75" customHeight="1" s="10">
      <c r="H248" s="7" t="n"/>
      <c r="I248" s="7" t="n"/>
      <c r="J248" s="7" t="n"/>
    </row>
    <row r="249" ht="15.75" customHeight="1" s="10">
      <c r="H249" s="7" t="n"/>
      <c r="I249" s="7" t="n"/>
      <c r="J249" s="7" t="n"/>
    </row>
    <row r="250" ht="15.75" customHeight="1" s="10">
      <c r="H250" s="7" t="n"/>
      <c r="I250" s="7" t="n"/>
      <c r="J250" s="7" t="n"/>
    </row>
    <row r="251" ht="15.75" customHeight="1" s="10">
      <c r="H251" s="7" t="n"/>
      <c r="I251" s="7" t="n"/>
      <c r="J251" s="7" t="n"/>
    </row>
    <row r="252" ht="15.75" customHeight="1" s="10">
      <c r="H252" s="7" t="n"/>
      <c r="I252" s="7" t="n"/>
      <c r="J252" s="7" t="n"/>
    </row>
    <row r="253" ht="15.75" customHeight="1" s="10">
      <c r="H253" s="7" t="n"/>
      <c r="I253" s="7" t="n"/>
      <c r="J253" s="7" t="n"/>
    </row>
    <row r="254" ht="15.75" customHeight="1" s="10">
      <c r="H254" s="7" t="n"/>
      <c r="I254" s="7" t="n"/>
      <c r="J254" s="7" t="n"/>
    </row>
    <row r="255" ht="15.75" customHeight="1" s="10">
      <c r="H255" s="7" t="n"/>
      <c r="I255" s="7" t="n"/>
      <c r="J255" s="7" t="n"/>
    </row>
    <row r="256" ht="15.75" customHeight="1" s="10">
      <c r="H256" s="7" t="n"/>
      <c r="I256" s="7" t="n"/>
      <c r="J256" s="7" t="n"/>
    </row>
    <row r="257" ht="15.75" customHeight="1" s="10">
      <c r="H257" s="7" t="n"/>
      <c r="I257" s="7" t="n"/>
      <c r="J257" s="7" t="n"/>
    </row>
    <row r="258" ht="15.75" customHeight="1" s="10">
      <c r="H258" s="7" t="n"/>
      <c r="I258" s="7" t="n"/>
      <c r="J258" s="7" t="n"/>
    </row>
    <row r="259" ht="15.75" customHeight="1" s="10">
      <c r="H259" s="7" t="n"/>
      <c r="I259" s="7" t="n"/>
      <c r="J259" s="7" t="n"/>
    </row>
    <row r="260" ht="15.75" customHeight="1" s="10">
      <c r="H260" s="7" t="n"/>
      <c r="I260" s="7" t="n"/>
      <c r="J260" s="7" t="n"/>
    </row>
    <row r="261" ht="15.75" customHeight="1" s="10">
      <c r="H261" s="7" t="n"/>
      <c r="I261" s="7" t="n"/>
      <c r="J261" s="7" t="n"/>
    </row>
    <row r="262" ht="15.75" customHeight="1" s="10">
      <c r="H262" s="7" t="n"/>
      <c r="I262" s="7" t="n"/>
      <c r="J262" s="7" t="n"/>
    </row>
    <row r="263" ht="15.75" customHeight="1" s="10">
      <c r="H263" s="7" t="n"/>
      <c r="I263" s="7" t="n"/>
      <c r="J263" s="7" t="n"/>
    </row>
    <row r="264" ht="15.75" customHeight="1" s="10">
      <c r="H264" s="7" t="n"/>
      <c r="I264" s="7" t="n"/>
      <c r="J264" s="7" t="n"/>
    </row>
    <row r="265" ht="15.75" customHeight="1" s="10">
      <c r="H265" s="7" t="n"/>
      <c r="I265" s="7" t="n"/>
      <c r="J265" s="7" t="n"/>
    </row>
    <row r="266" ht="15.75" customHeight="1" s="10">
      <c r="H266" s="7" t="n"/>
      <c r="I266" s="7" t="n"/>
      <c r="J266" s="7" t="n"/>
    </row>
    <row r="267" ht="15.75" customHeight="1" s="10">
      <c r="H267" s="7" t="n"/>
      <c r="I267" s="7" t="n"/>
      <c r="J267" s="7" t="n"/>
    </row>
    <row r="268" ht="15.75" customHeight="1" s="10">
      <c r="H268" s="7" t="n"/>
      <c r="I268" s="7" t="n"/>
      <c r="J268" s="7" t="n"/>
    </row>
    <row r="269" ht="15.75" customHeight="1" s="10">
      <c r="H269" s="7" t="n"/>
      <c r="I269" s="7" t="n"/>
      <c r="J269" s="7" t="n"/>
    </row>
    <row r="270" ht="15.75" customHeight="1" s="10">
      <c r="H270" s="7" t="n"/>
      <c r="I270" s="7" t="n"/>
      <c r="J270" s="7" t="n"/>
    </row>
    <row r="271" ht="15.75" customHeight="1" s="10">
      <c r="H271" s="7" t="n"/>
      <c r="I271" s="7" t="n"/>
      <c r="J271" s="7" t="n"/>
    </row>
    <row r="272" ht="15.75" customHeight="1" s="10">
      <c r="H272" s="7" t="n"/>
      <c r="I272" s="7" t="n"/>
      <c r="J272" s="7" t="n"/>
    </row>
    <row r="273" ht="15.75" customHeight="1" s="10">
      <c r="H273" s="7" t="n"/>
      <c r="I273" s="7" t="n"/>
      <c r="J273" s="7" t="n"/>
    </row>
    <row r="274" ht="15.75" customHeight="1" s="10">
      <c r="H274" s="7" t="n"/>
      <c r="I274" s="7" t="n"/>
      <c r="J274" s="7" t="n"/>
    </row>
    <row r="275" ht="15.75" customHeight="1" s="10">
      <c r="H275" s="7" t="n"/>
      <c r="I275" s="7" t="n"/>
      <c r="J275" s="7" t="n"/>
    </row>
    <row r="276" ht="15.75" customHeight="1" s="10">
      <c r="H276" s="7" t="n"/>
      <c r="I276" s="7" t="n"/>
      <c r="J276" s="7" t="n"/>
    </row>
    <row r="277" ht="15.75" customHeight="1" s="10">
      <c r="H277" s="7" t="n"/>
      <c r="I277" s="7" t="n"/>
      <c r="J277" s="7" t="n"/>
    </row>
    <row r="278" ht="15.75" customHeight="1" s="10">
      <c r="H278" s="7" t="n"/>
      <c r="I278" s="7" t="n"/>
      <c r="J278" s="7" t="n"/>
    </row>
    <row r="279" ht="15.75" customHeight="1" s="10">
      <c r="H279" s="7" t="n"/>
      <c r="I279" s="7" t="n"/>
      <c r="J279" s="7" t="n"/>
    </row>
    <row r="280" ht="15.75" customHeight="1" s="10">
      <c r="H280" s="7" t="n"/>
      <c r="I280" s="7" t="n"/>
      <c r="J280" s="7" t="n"/>
    </row>
    <row r="281" ht="15.75" customHeight="1" s="10">
      <c r="H281" s="7" t="n"/>
      <c r="I281" s="7" t="n"/>
      <c r="J281" s="7" t="n"/>
    </row>
    <row r="282" ht="15.75" customHeight="1" s="10">
      <c r="H282" s="7" t="n"/>
      <c r="I282" s="7" t="n"/>
      <c r="J282" s="7" t="n"/>
    </row>
    <row r="283" ht="15.75" customHeight="1" s="10">
      <c r="H283" s="7" t="n"/>
      <c r="I283" s="7" t="n"/>
      <c r="J283" s="7" t="n"/>
    </row>
    <row r="284" ht="15.75" customHeight="1" s="10">
      <c r="H284" s="7" t="n"/>
      <c r="I284" s="7" t="n"/>
      <c r="J284" s="7" t="n"/>
    </row>
    <row r="285" ht="15.75" customHeight="1" s="10">
      <c r="H285" s="7" t="n"/>
      <c r="I285" s="7" t="n"/>
      <c r="J285" s="7" t="n"/>
    </row>
    <row r="286" ht="15.75" customHeight="1" s="10">
      <c r="H286" s="7" t="n"/>
      <c r="I286" s="7" t="n"/>
      <c r="J286" s="7" t="n"/>
    </row>
    <row r="287" ht="15.75" customHeight="1" s="10">
      <c r="H287" s="7" t="n"/>
      <c r="I287" s="7" t="n"/>
      <c r="J287" s="7" t="n"/>
    </row>
    <row r="288" ht="15.75" customHeight="1" s="10">
      <c r="H288" s="7" t="n"/>
      <c r="I288" s="7" t="n"/>
      <c r="J288" s="7" t="n"/>
    </row>
    <row r="289" ht="15.75" customHeight="1" s="10">
      <c r="H289" s="7" t="n"/>
      <c r="I289" s="7" t="n"/>
      <c r="J289" s="7" t="n"/>
    </row>
    <row r="290" ht="15.75" customHeight="1" s="10">
      <c r="H290" s="7" t="n"/>
      <c r="I290" s="7" t="n"/>
      <c r="J290" s="7" t="n"/>
    </row>
    <row r="291" ht="15.75" customHeight="1" s="10">
      <c r="H291" s="7" t="n"/>
      <c r="I291" s="7" t="n"/>
      <c r="J291" s="7" t="n"/>
    </row>
    <row r="292" ht="15.75" customHeight="1" s="10">
      <c r="H292" s="7" t="n"/>
      <c r="I292" s="7" t="n"/>
      <c r="J292" s="7" t="n"/>
    </row>
    <row r="293" ht="15.75" customHeight="1" s="10">
      <c r="H293" s="7" t="n"/>
      <c r="I293" s="7" t="n"/>
      <c r="J293" s="7" t="n"/>
    </row>
    <row r="294" ht="15.75" customHeight="1" s="10">
      <c r="H294" s="7" t="n"/>
      <c r="I294" s="7" t="n"/>
      <c r="J294" s="7" t="n"/>
    </row>
    <row r="295" ht="15.75" customHeight="1" s="10">
      <c r="H295" s="7" t="n"/>
      <c r="I295" s="7" t="n"/>
      <c r="J295" s="7" t="n"/>
    </row>
    <row r="296" ht="15.75" customHeight="1" s="10">
      <c r="H296" s="7" t="n"/>
      <c r="I296" s="7" t="n"/>
      <c r="J296" s="7" t="n"/>
    </row>
    <row r="297" ht="15.75" customHeight="1" s="10">
      <c r="H297" s="7" t="n"/>
      <c r="I297" s="7" t="n"/>
      <c r="J297" s="7" t="n"/>
    </row>
    <row r="298" ht="15.75" customHeight="1" s="10">
      <c r="H298" s="7" t="n"/>
      <c r="I298" s="7" t="n"/>
      <c r="J298" s="7" t="n"/>
    </row>
    <row r="299" ht="15.75" customHeight="1" s="10">
      <c r="H299" s="7" t="n"/>
      <c r="I299" s="7" t="n"/>
      <c r="J299" s="7" t="n"/>
    </row>
    <row r="300" ht="15.75" customHeight="1" s="10">
      <c r="H300" s="7" t="n"/>
      <c r="I300" s="7" t="n"/>
      <c r="J300" s="7" t="n"/>
    </row>
    <row r="301" ht="15.75" customHeight="1" s="10">
      <c r="H301" s="7" t="n"/>
      <c r="I301" s="7" t="n"/>
      <c r="J301" s="7" t="n"/>
    </row>
    <row r="302" ht="15.75" customHeight="1" s="10">
      <c r="H302" s="7" t="n"/>
      <c r="I302" s="7" t="n"/>
      <c r="J302" s="7" t="n"/>
    </row>
    <row r="303" ht="15.75" customHeight="1" s="10">
      <c r="H303" s="7" t="n"/>
      <c r="I303" s="7" t="n"/>
      <c r="J303" s="7" t="n"/>
    </row>
    <row r="304" ht="15.75" customHeight="1" s="10">
      <c r="H304" s="7" t="n"/>
      <c r="I304" s="7" t="n"/>
      <c r="J304" s="7" t="n"/>
    </row>
    <row r="305" ht="15.75" customHeight="1" s="10">
      <c r="H305" s="7" t="n"/>
      <c r="I305" s="7" t="n"/>
      <c r="J305" s="7" t="n"/>
    </row>
    <row r="306" ht="15.75" customHeight="1" s="10">
      <c r="H306" s="7" t="n"/>
      <c r="I306" s="7" t="n"/>
      <c r="J306" s="7" t="n"/>
    </row>
    <row r="307" ht="15.75" customHeight="1" s="10">
      <c r="H307" s="7" t="n"/>
      <c r="I307" s="7" t="n"/>
      <c r="J307" s="7" t="n"/>
    </row>
    <row r="308" ht="15.75" customHeight="1" s="10">
      <c r="H308" s="7" t="n"/>
      <c r="I308" s="7" t="n"/>
      <c r="J308" s="7" t="n"/>
    </row>
    <row r="309" ht="15.75" customHeight="1" s="10">
      <c r="H309" s="7" t="n"/>
      <c r="I309" s="7" t="n"/>
      <c r="J309" s="7" t="n"/>
    </row>
    <row r="310" ht="15.75" customHeight="1" s="10">
      <c r="H310" s="7" t="n"/>
      <c r="I310" s="7" t="n"/>
      <c r="J310" s="7" t="n"/>
    </row>
    <row r="311" ht="15.75" customHeight="1" s="10">
      <c r="H311" s="7" t="n"/>
      <c r="I311" s="7" t="n"/>
      <c r="J311" s="7" t="n"/>
    </row>
    <row r="312" ht="15.75" customHeight="1" s="10">
      <c r="H312" s="7" t="n"/>
      <c r="I312" s="7" t="n"/>
      <c r="J312" s="7" t="n"/>
    </row>
    <row r="313" ht="15.75" customHeight="1" s="10">
      <c r="H313" s="7" t="n"/>
      <c r="I313" s="7" t="n"/>
      <c r="J313" s="7" t="n"/>
    </row>
    <row r="314" ht="15.75" customHeight="1" s="10">
      <c r="H314" s="7" t="n"/>
      <c r="I314" s="7" t="n"/>
      <c r="J314" s="7" t="n"/>
    </row>
    <row r="315" ht="15.75" customHeight="1" s="10">
      <c r="H315" s="7" t="n"/>
      <c r="I315" s="7" t="n"/>
      <c r="J315" s="7" t="n"/>
    </row>
    <row r="316" ht="15.75" customHeight="1" s="10">
      <c r="H316" s="7" t="n"/>
      <c r="I316" s="7" t="n"/>
      <c r="J316" s="7" t="n"/>
    </row>
    <row r="317" ht="15.75" customHeight="1" s="10">
      <c r="H317" s="7" t="n"/>
      <c r="I317" s="7" t="n"/>
      <c r="J317" s="7" t="n"/>
    </row>
    <row r="318" ht="15.75" customHeight="1" s="10">
      <c r="H318" s="7" t="n"/>
      <c r="I318" s="7" t="n"/>
      <c r="J318" s="7" t="n"/>
    </row>
    <row r="319" ht="15.75" customHeight="1" s="10">
      <c r="H319" s="7" t="n"/>
      <c r="I319" s="7" t="n"/>
      <c r="J319" s="7" t="n"/>
    </row>
    <row r="320" ht="15.75" customHeight="1" s="10">
      <c r="H320" s="7" t="n"/>
      <c r="I320" s="7" t="n"/>
      <c r="J320" s="7" t="n"/>
    </row>
    <row r="321" ht="15.75" customHeight="1" s="10">
      <c r="H321" s="7" t="n"/>
      <c r="I321" s="7" t="n"/>
      <c r="J321" s="7" t="n"/>
    </row>
    <row r="322" ht="15.75" customHeight="1" s="10">
      <c r="H322" s="7" t="n"/>
      <c r="I322" s="7" t="n"/>
      <c r="J322" s="7" t="n"/>
    </row>
    <row r="323" ht="15.75" customHeight="1" s="10">
      <c r="H323" s="7" t="n"/>
      <c r="I323" s="7" t="n"/>
      <c r="J323" s="7" t="n"/>
    </row>
    <row r="324" ht="15.75" customHeight="1" s="10">
      <c r="H324" s="7" t="n"/>
      <c r="I324" s="7" t="n"/>
      <c r="J324" s="7" t="n"/>
    </row>
    <row r="325" ht="15.75" customHeight="1" s="10">
      <c r="H325" s="7" t="n"/>
      <c r="I325" s="7" t="n"/>
      <c r="J325" s="7" t="n"/>
    </row>
    <row r="326" ht="15.75" customHeight="1" s="10">
      <c r="H326" s="7" t="n"/>
      <c r="I326" s="7" t="n"/>
      <c r="J326" s="7" t="n"/>
    </row>
    <row r="327" ht="15.75" customHeight="1" s="10">
      <c r="H327" s="7" t="n"/>
      <c r="I327" s="7" t="n"/>
      <c r="J327" s="7" t="n"/>
    </row>
    <row r="328" ht="15.75" customHeight="1" s="10">
      <c r="H328" s="7" t="n"/>
      <c r="I328" s="7" t="n"/>
      <c r="J328" s="7" t="n"/>
    </row>
    <row r="329" ht="15.75" customHeight="1" s="10">
      <c r="H329" s="7" t="n"/>
      <c r="I329" s="7" t="n"/>
      <c r="J329" s="7" t="n"/>
    </row>
    <row r="330" ht="15.75" customHeight="1" s="10">
      <c r="H330" s="7" t="n"/>
      <c r="I330" s="7" t="n"/>
      <c r="J330" s="7" t="n"/>
    </row>
    <row r="331" ht="15.75" customHeight="1" s="10">
      <c r="H331" s="7" t="n"/>
      <c r="I331" s="7" t="n"/>
      <c r="J331" s="7" t="n"/>
    </row>
    <row r="332" ht="15.75" customHeight="1" s="10">
      <c r="H332" s="7" t="n"/>
      <c r="I332" s="7" t="n"/>
      <c r="J332" s="7" t="n"/>
    </row>
    <row r="333" ht="15.75" customHeight="1" s="10">
      <c r="H333" s="7" t="n"/>
      <c r="I333" s="7" t="n"/>
      <c r="J333" s="7" t="n"/>
    </row>
    <row r="334" ht="15.75" customHeight="1" s="10">
      <c r="H334" s="7" t="n"/>
      <c r="I334" s="7" t="n"/>
      <c r="J334" s="7" t="n"/>
    </row>
    <row r="335" ht="15.75" customHeight="1" s="10">
      <c r="H335" s="7" t="n"/>
      <c r="I335" s="7" t="n"/>
      <c r="J335" s="7" t="n"/>
    </row>
    <row r="336" ht="15.75" customHeight="1" s="10">
      <c r="H336" s="7" t="n"/>
      <c r="I336" s="7" t="n"/>
      <c r="J336" s="7" t="n"/>
    </row>
    <row r="337" ht="15.75" customHeight="1" s="10">
      <c r="H337" s="7" t="n"/>
      <c r="I337" s="7" t="n"/>
      <c r="J337" s="7" t="n"/>
    </row>
    <row r="338" ht="15.75" customHeight="1" s="10">
      <c r="H338" s="7" t="n"/>
      <c r="I338" s="7" t="n"/>
      <c r="J338" s="7" t="n"/>
    </row>
    <row r="339" ht="15.75" customHeight="1" s="10">
      <c r="H339" s="7" t="n"/>
      <c r="I339" s="7" t="n"/>
      <c r="J339" s="7" t="n"/>
    </row>
    <row r="340" ht="15.75" customHeight="1" s="10">
      <c r="H340" s="7" t="n"/>
      <c r="I340" s="7" t="n"/>
      <c r="J340" s="7" t="n"/>
    </row>
    <row r="341" ht="15.75" customHeight="1" s="10">
      <c r="H341" s="7" t="n"/>
      <c r="I341" s="7" t="n"/>
      <c r="J341" s="7" t="n"/>
    </row>
    <row r="342" ht="15.75" customHeight="1" s="10">
      <c r="H342" s="7" t="n"/>
      <c r="I342" s="7" t="n"/>
      <c r="J342" s="7" t="n"/>
    </row>
    <row r="343" ht="15.75" customHeight="1" s="10">
      <c r="H343" s="7" t="n"/>
      <c r="I343" s="7" t="n"/>
      <c r="J343" s="7" t="n"/>
    </row>
    <row r="344" ht="15.75" customHeight="1" s="10">
      <c r="H344" s="7" t="n"/>
      <c r="I344" s="7" t="n"/>
      <c r="J344" s="7" t="n"/>
    </row>
    <row r="345" ht="15.75" customHeight="1" s="10">
      <c r="H345" s="7" t="n"/>
      <c r="I345" s="7" t="n"/>
      <c r="J345" s="7" t="n"/>
    </row>
    <row r="346" ht="15.75" customHeight="1" s="10">
      <c r="H346" s="7" t="n"/>
      <c r="I346" s="7" t="n"/>
      <c r="J346" s="7" t="n"/>
    </row>
    <row r="347" ht="15.75" customHeight="1" s="10">
      <c r="H347" s="7" t="n"/>
      <c r="I347" s="7" t="n"/>
      <c r="J347" s="7" t="n"/>
    </row>
    <row r="348" ht="15.75" customHeight="1" s="10">
      <c r="H348" s="7" t="n"/>
      <c r="I348" s="7" t="n"/>
      <c r="J348" s="7" t="n"/>
    </row>
    <row r="349" ht="15.75" customHeight="1" s="10">
      <c r="H349" s="7" t="n"/>
      <c r="I349" s="7" t="n"/>
      <c r="J349" s="7" t="n"/>
    </row>
    <row r="350" ht="15.75" customHeight="1" s="10">
      <c r="H350" s="7" t="n"/>
      <c r="I350" s="7" t="n"/>
      <c r="J350" s="7" t="n"/>
    </row>
    <row r="351" ht="15.75" customHeight="1" s="10">
      <c r="H351" s="7" t="n"/>
      <c r="I351" s="7" t="n"/>
      <c r="J351" s="7" t="n"/>
    </row>
    <row r="352" ht="15.75" customHeight="1" s="10">
      <c r="H352" s="7" t="n"/>
      <c r="I352" s="7" t="n"/>
      <c r="J352" s="7" t="n"/>
    </row>
    <row r="353" ht="15.75" customHeight="1" s="10">
      <c r="H353" s="7" t="n"/>
      <c r="I353" s="7" t="n"/>
      <c r="J353" s="7" t="n"/>
    </row>
    <row r="354" ht="15.75" customHeight="1" s="10">
      <c r="H354" s="7" t="n"/>
      <c r="I354" s="7" t="n"/>
      <c r="J354" s="7" t="n"/>
    </row>
    <row r="355" ht="15.75" customHeight="1" s="10">
      <c r="H355" s="7" t="n"/>
      <c r="I355" s="7" t="n"/>
      <c r="J355" s="7" t="n"/>
    </row>
    <row r="356" ht="15.75" customHeight="1" s="10">
      <c r="H356" s="7" t="n"/>
      <c r="I356" s="7" t="n"/>
      <c r="J356" s="7" t="n"/>
    </row>
    <row r="357" ht="15.75" customHeight="1" s="10">
      <c r="H357" s="7" t="n"/>
      <c r="I357" s="7" t="n"/>
      <c r="J357" s="7" t="n"/>
    </row>
    <row r="358" ht="15.75" customHeight="1" s="10">
      <c r="H358" s="7" t="n"/>
      <c r="I358" s="7" t="n"/>
      <c r="J358" s="7" t="n"/>
    </row>
    <row r="359" ht="15.75" customHeight="1" s="10">
      <c r="H359" s="7" t="n"/>
      <c r="I359" s="7" t="n"/>
      <c r="J359" s="7" t="n"/>
    </row>
    <row r="360" ht="15.75" customHeight="1" s="10">
      <c r="H360" s="7" t="n"/>
      <c r="I360" s="7" t="n"/>
      <c r="J360" s="7" t="n"/>
    </row>
    <row r="361" ht="15.75" customHeight="1" s="10">
      <c r="H361" s="7" t="n"/>
      <c r="I361" s="7" t="n"/>
      <c r="J361" s="7" t="n"/>
    </row>
    <row r="362" ht="15.75" customHeight="1" s="10">
      <c r="H362" s="7" t="n"/>
      <c r="I362" s="7" t="n"/>
      <c r="J362" s="7" t="n"/>
    </row>
    <row r="363" ht="15.75" customHeight="1" s="10">
      <c r="H363" s="7" t="n"/>
      <c r="I363" s="7" t="n"/>
      <c r="J363" s="7" t="n"/>
    </row>
    <row r="364" ht="15.75" customHeight="1" s="10">
      <c r="H364" s="7" t="n"/>
      <c r="I364" s="7" t="n"/>
      <c r="J364" s="7" t="n"/>
    </row>
    <row r="365" ht="15.75" customHeight="1" s="10">
      <c r="H365" s="7" t="n"/>
      <c r="I365" s="7" t="n"/>
      <c r="J365" s="7" t="n"/>
    </row>
    <row r="366" ht="15.75" customHeight="1" s="10">
      <c r="H366" s="7" t="n"/>
      <c r="I366" s="7" t="n"/>
      <c r="J366" s="7" t="n"/>
    </row>
    <row r="367" ht="15.75" customHeight="1" s="10">
      <c r="H367" s="7" t="n"/>
      <c r="I367" s="7" t="n"/>
      <c r="J367" s="7" t="n"/>
    </row>
    <row r="368" ht="15.75" customHeight="1" s="10">
      <c r="H368" s="7" t="n"/>
      <c r="I368" s="7" t="n"/>
      <c r="J368" s="7" t="n"/>
    </row>
    <row r="369" ht="15.75" customHeight="1" s="10">
      <c r="H369" s="7" t="n"/>
      <c r="I369" s="7" t="n"/>
      <c r="J369" s="7" t="n"/>
    </row>
    <row r="370" ht="15.75" customHeight="1" s="10">
      <c r="H370" s="7" t="n"/>
      <c r="I370" s="7" t="n"/>
      <c r="J370" s="7" t="n"/>
    </row>
    <row r="371" ht="15.75" customHeight="1" s="10">
      <c r="H371" s="7" t="n"/>
      <c r="I371" s="7" t="n"/>
      <c r="J371" s="7" t="n"/>
    </row>
    <row r="372" ht="15.75" customHeight="1" s="10">
      <c r="H372" s="7" t="n"/>
      <c r="I372" s="7" t="n"/>
      <c r="J372" s="7" t="n"/>
    </row>
    <row r="373" ht="15.75" customHeight="1" s="10">
      <c r="H373" s="7" t="n"/>
      <c r="I373" s="7" t="n"/>
      <c r="J373" s="7" t="n"/>
    </row>
    <row r="374" ht="15.75" customHeight="1" s="10">
      <c r="H374" s="7" t="n"/>
      <c r="I374" s="7" t="n"/>
      <c r="J374" s="7" t="n"/>
    </row>
    <row r="375" ht="15.75" customHeight="1" s="10">
      <c r="H375" s="7" t="n"/>
      <c r="I375" s="7" t="n"/>
      <c r="J375" s="7" t="n"/>
    </row>
    <row r="376" ht="15.75" customHeight="1" s="10">
      <c r="H376" s="7" t="n"/>
      <c r="I376" s="7" t="n"/>
      <c r="J376" s="7" t="n"/>
    </row>
    <row r="377" ht="15.75" customHeight="1" s="10">
      <c r="H377" s="7" t="n"/>
      <c r="I377" s="7" t="n"/>
      <c r="J377" s="7" t="n"/>
    </row>
    <row r="378" ht="15.75" customHeight="1" s="10">
      <c r="H378" s="7" t="n"/>
      <c r="I378" s="7" t="n"/>
      <c r="J378" s="7" t="n"/>
    </row>
    <row r="379" ht="15.75" customHeight="1" s="10">
      <c r="H379" s="7" t="n"/>
      <c r="I379" s="7" t="n"/>
      <c r="J379" s="7" t="n"/>
    </row>
    <row r="380" ht="15.75" customHeight="1" s="10">
      <c r="H380" s="7" t="n"/>
      <c r="I380" s="7" t="n"/>
      <c r="J380" s="7" t="n"/>
    </row>
    <row r="381" ht="15.75" customHeight="1" s="10">
      <c r="H381" s="7" t="n"/>
      <c r="I381" s="7" t="n"/>
      <c r="J381" s="7" t="n"/>
    </row>
    <row r="382" ht="15.75" customHeight="1" s="10">
      <c r="H382" s="7" t="n"/>
      <c r="I382" s="7" t="n"/>
      <c r="J382" s="7" t="n"/>
    </row>
    <row r="383" ht="15.75" customHeight="1" s="10">
      <c r="H383" s="7" t="n"/>
      <c r="I383" s="7" t="n"/>
      <c r="J383" s="7" t="n"/>
    </row>
    <row r="384" ht="15.75" customHeight="1" s="10">
      <c r="H384" s="7" t="n"/>
      <c r="I384" s="7" t="n"/>
      <c r="J384" s="7" t="n"/>
    </row>
    <row r="385" ht="15.75" customHeight="1" s="10">
      <c r="H385" s="7" t="n"/>
      <c r="I385" s="7" t="n"/>
      <c r="J385" s="7" t="n"/>
    </row>
    <row r="386" ht="15.75" customHeight="1" s="10">
      <c r="H386" s="7" t="n"/>
      <c r="I386" s="7" t="n"/>
      <c r="J386" s="7" t="n"/>
    </row>
    <row r="387" ht="15.75" customHeight="1" s="10">
      <c r="H387" s="7" t="n"/>
      <c r="I387" s="7" t="n"/>
      <c r="J387" s="7" t="n"/>
    </row>
    <row r="388" ht="15.75" customHeight="1" s="10">
      <c r="H388" s="7" t="n"/>
      <c r="I388" s="7" t="n"/>
      <c r="J388" s="7" t="n"/>
    </row>
    <row r="389" ht="15.75" customHeight="1" s="10">
      <c r="H389" s="7" t="n"/>
      <c r="I389" s="7" t="n"/>
      <c r="J389" s="7" t="n"/>
    </row>
    <row r="390" ht="15.75" customHeight="1" s="10">
      <c r="H390" s="7" t="n"/>
      <c r="I390" s="7" t="n"/>
      <c r="J390" s="7" t="n"/>
    </row>
    <row r="391" ht="15.75" customHeight="1" s="10">
      <c r="H391" s="7" t="n"/>
      <c r="I391" s="7" t="n"/>
      <c r="J391" s="7" t="n"/>
    </row>
    <row r="392" ht="15.75" customHeight="1" s="10">
      <c r="H392" s="7" t="n"/>
      <c r="I392" s="7" t="n"/>
      <c r="J392" s="7" t="n"/>
    </row>
    <row r="393" ht="15.75" customHeight="1" s="10">
      <c r="H393" s="7" t="n"/>
      <c r="I393" s="7" t="n"/>
      <c r="J393" s="7" t="n"/>
    </row>
    <row r="394" ht="15.75" customHeight="1" s="10">
      <c r="H394" s="7" t="n"/>
      <c r="I394" s="7" t="n"/>
      <c r="J394" s="7" t="n"/>
    </row>
    <row r="395" ht="15.75" customHeight="1" s="10">
      <c r="H395" s="7" t="n"/>
      <c r="I395" s="7" t="n"/>
      <c r="J395" s="7" t="n"/>
    </row>
    <row r="396" ht="15.75" customHeight="1" s="10">
      <c r="H396" s="7" t="n"/>
      <c r="I396" s="7" t="n"/>
      <c r="J396" s="7" t="n"/>
    </row>
    <row r="397" ht="15.75" customHeight="1" s="10">
      <c r="H397" s="7" t="n"/>
      <c r="I397" s="7" t="n"/>
      <c r="J397" s="7" t="n"/>
    </row>
    <row r="398" ht="15.75" customHeight="1" s="10">
      <c r="H398" s="7" t="n"/>
      <c r="I398" s="7" t="n"/>
      <c r="J398" s="7" t="n"/>
    </row>
    <row r="399" ht="15.75" customHeight="1" s="10">
      <c r="H399" s="7" t="n"/>
      <c r="I399" s="7" t="n"/>
      <c r="J399" s="7" t="n"/>
    </row>
    <row r="400" ht="15.75" customHeight="1" s="10">
      <c r="H400" s="7" t="n"/>
      <c r="I400" s="7" t="n"/>
      <c r="J400" s="7" t="n"/>
    </row>
    <row r="401" ht="15.75" customHeight="1" s="10">
      <c r="H401" s="7" t="n"/>
      <c r="I401" s="7" t="n"/>
      <c r="J401" s="7" t="n"/>
    </row>
    <row r="402" ht="15.75" customHeight="1" s="10">
      <c r="H402" s="7" t="n"/>
      <c r="I402" s="7" t="n"/>
      <c r="J402" s="7" t="n"/>
    </row>
    <row r="403" ht="15.75" customHeight="1" s="10">
      <c r="H403" s="7" t="n"/>
      <c r="I403" s="7" t="n"/>
      <c r="J403" s="7" t="n"/>
    </row>
    <row r="404" ht="15.75" customHeight="1" s="10">
      <c r="H404" s="7" t="n"/>
      <c r="I404" s="7" t="n"/>
      <c r="J404" s="7" t="n"/>
    </row>
    <row r="405" ht="15.75" customHeight="1" s="10">
      <c r="H405" s="7" t="n"/>
      <c r="I405" s="7" t="n"/>
      <c r="J405" s="7" t="n"/>
    </row>
    <row r="406" ht="15.75" customHeight="1" s="10">
      <c r="H406" s="7" t="n"/>
      <c r="I406" s="7" t="n"/>
      <c r="J406" s="7" t="n"/>
    </row>
    <row r="407" ht="15.75" customHeight="1" s="10">
      <c r="H407" s="7" t="n"/>
      <c r="I407" s="7" t="n"/>
      <c r="J407" s="7" t="n"/>
    </row>
    <row r="408" ht="15.75" customHeight="1" s="10">
      <c r="H408" s="7" t="n"/>
      <c r="I408" s="7" t="n"/>
      <c r="J408" s="7" t="n"/>
    </row>
    <row r="409" ht="15.75" customHeight="1" s="10">
      <c r="H409" s="7" t="n"/>
      <c r="I409" s="7" t="n"/>
      <c r="J409" s="7" t="n"/>
    </row>
    <row r="410" ht="15.75" customHeight="1" s="10">
      <c r="H410" s="7" t="n"/>
      <c r="I410" s="7" t="n"/>
      <c r="J410" s="7" t="n"/>
    </row>
    <row r="411" ht="15.75" customHeight="1" s="10">
      <c r="H411" s="7" t="n"/>
      <c r="I411" s="7" t="n"/>
      <c r="J411" s="7" t="n"/>
    </row>
    <row r="412" ht="15.75" customHeight="1" s="10">
      <c r="H412" s="7" t="n"/>
      <c r="I412" s="7" t="n"/>
      <c r="J412" s="7" t="n"/>
    </row>
    <row r="413" ht="15.75" customHeight="1" s="10">
      <c r="H413" s="7" t="n"/>
      <c r="I413" s="7" t="n"/>
      <c r="J413" s="7" t="n"/>
    </row>
    <row r="414" ht="15.75" customHeight="1" s="10">
      <c r="H414" s="7" t="n"/>
      <c r="I414" s="7" t="n"/>
      <c r="J414" s="7" t="n"/>
    </row>
    <row r="415" ht="15.75" customHeight="1" s="10">
      <c r="H415" s="7" t="n"/>
      <c r="I415" s="7" t="n"/>
      <c r="J415" s="7" t="n"/>
    </row>
    <row r="416" ht="15.75" customHeight="1" s="10">
      <c r="H416" s="7" t="n"/>
      <c r="I416" s="7" t="n"/>
      <c r="J416" s="7" t="n"/>
    </row>
    <row r="417" ht="15.75" customHeight="1" s="10">
      <c r="H417" s="7" t="n"/>
      <c r="I417" s="7" t="n"/>
      <c r="J417" s="7" t="n"/>
    </row>
    <row r="418" ht="15.75" customHeight="1" s="10">
      <c r="H418" s="7" t="n"/>
      <c r="I418" s="7" t="n"/>
      <c r="J418" s="7" t="n"/>
    </row>
    <row r="419" ht="15.75" customHeight="1" s="10">
      <c r="H419" s="7" t="n"/>
      <c r="I419" s="7" t="n"/>
      <c r="J419" s="7" t="n"/>
    </row>
    <row r="420" ht="15.75" customHeight="1" s="10">
      <c r="H420" s="7" t="n"/>
      <c r="I420" s="7" t="n"/>
      <c r="J420" s="7" t="n"/>
    </row>
    <row r="421" ht="15.75" customHeight="1" s="10">
      <c r="H421" s="7" t="n"/>
      <c r="I421" s="7" t="n"/>
      <c r="J421" s="7" t="n"/>
    </row>
    <row r="422" ht="15.75" customHeight="1" s="10">
      <c r="H422" s="7" t="n"/>
      <c r="I422" s="7" t="n"/>
      <c r="J422" s="7" t="n"/>
    </row>
    <row r="423" ht="15.75" customHeight="1" s="10">
      <c r="H423" s="7" t="n"/>
      <c r="I423" s="7" t="n"/>
      <c r="J423" s="7" t="n"/>
    </row>
    <row r="424" ht="15.75" customHeight="1" s="10">
      <c r="H424" s="7" t="n"/>
      <c r="I424" s="7" t="n"/>
      <c r="J424" s="7" t="n"/>
    </row>
    <row r="425" ht="15.75" customHeight="1" s="10">
      <c r="H425" s="7" t="n"/>
      <c r="I425" s="7" t="n"/>
      <c r="J425" s="7" t="n"/>
    </row>
    <row r="426" ht="15.75" customHeight="1" s="10">
      <c r="H426" s="7" t="n"/>
      <c r="I426" s="7" t="n"/>
      <c r="J426" s="7" t="n"/>
    </row>
    <row r="427" ht="15.75" customHeight="1" s="10">
      <c r="H427" s="7" t="n"/>
      <c r="I427" s="7" t="n"/>
      <c r="J427" s="7" t="n"/>
    </row>
    <row r="428" ht="15.75" customHeight="1" s="10">
      <c r="H428" s="7" t="n"/>
      <c r="I428" s="7" t="n"/>
      <c r="J428" s="7" t="n"/>
    </row>
    <row r="429" ht="15.75" customHeight="1" s="10">
      <c r="H429" s="7" t="n"/>
      <c r="I429" s="7" t="n"/>
      <c r="J429" s="7" t="n"/>
    </row>
    <row r="430" ht="15.75" customHeight="1" s="10">
      <c r="H430" s="7" t="n"/>
      <c r="I430" s="7" t="n"/>
      <c r="J430" s="7" t="n"/>
    </row>
    <row r="431" ht="15.75" customHeight="1" s="10">
      <c r="H431" s="7" t="n"/>
      <c r="I431" s="7" t="n"/>
      <c r="J431" s="7" t="n"/>
    </row>
    <row r="432" ht="15.75" customHeight="1" s="10">
      <c r="H432" s="7" t="n"/>
      <c r="I432" s="7" t="n"/>
      <c r="J432" s="7" t="n"/>
    </row>
    <row r="433" ht="15.75" customHeight="1" s="10">
      <c r="H433" s="7" t="n"/>
      <c r="I433" s="7" t="n"/>
      <c r="J433" s="7" t="n"/>
    </row>
    <row r="434" ht="15.75" customHeight="1" s="10">
      <c r="H434" s="7" t="n"/>
      <c r="I434" s="7" t="n"/>
      <c r="J434" s="7" t="n"/>
    </row>
    <row r="435" ht="15.75" customHeight="1" s="10">
      <c r="H435" s="7" t="n"/>
      <c r="I435" s="7" t="n"/>
      <c r="J435" s="7" t="n"/>
    </row>
    <row r="436" ht="15.75" customHeight="1" s="10">
      <c r="H436" s="7" t="n"/>
      <c r="I436" s="7" t="n"/>
      <c r="J436" s="7" t="n"/>
    </row>
    <row r="437" ht="15.75" customHeight="1" s="10">
      <c r="H437" s="7" t="n"/>
      <c r="I437" s="7" t="n"/>
      <c r="J437" s="7" t="n"/>
    </row>
    <row r="438" ht="15.75" customHeight="1" s="10">
      <c r="H438" s="7" t="n"/>
      <c r="I438" s="7" t="n"/>
      <c r="J438" s="7" t="n"/>
    </row>
    <row r="439" ht="15.75" customHeight="1" s="10">
      <c r="H439" s="7" t="n"/>
      <c r="I439" s="7" t="n"/>
      <c r="J439" s="7" t="n"/>
    </row>
    <row r="440" ht="15.75" customHeight="1" s="10">
      <c r="H440" s="7" t="n"/>
      <c r="I440" s="7" t="n"/>
      <c r="J440" s="7" t="n"/>
    </row>
    <row r="441" ht="15.75" customHeight="1" s="10">
      <c r="H441" s="7" t="n"/>
      <c r="I441" s="7" t="n"/>
      <c r="J441" s="7" t="n"/>
    </row>
    <row r="442" ht="15.75" customHeight="1" s="10">
      <c r="H442" s="7" t="n"/>
      <c r="I442" s="7" t="n"/>
      <c r="J442" s="7" t="n"/>
    </row>
    <row r="443" ht="15.75" customHeight="1" s="10">
      <c r="H443" s="7" t="n"/>
      <c r="I443" s="7" t="n"/>
      <c r="J443" s="7" t="n"/>
    </row>
    <row r="444" ht="15.75" customHeight="1" s="10">
      <c r="H444" s="7" t="n"/>
      <c r="I444" s="7" t="n"/>
      <c r="J444" s="7" t="n"/>
    </row>
    <row r="445" ht="15.75" customHeight="1" s="10">
      <c r="H445" s="7" t="n"/>
      <c r="I445" s="7" t="n"/>
      <c r="J445" s="7" t="n"/>
    </row>
    <row r="446" ht="15.75" customHeight="1" s="10">
      <c r="H446" s="7" t="n"/>
      <c r="I446" s="7" t="n"/>
      <c r="J446" s="7" t="n"/>
    </row>
    <row r="447" ht="15.75" customHeight="1" s="10">
      <c r="H447" s="7" t="n"/>
      <c r="I447" s="7" t="n"/>
      <c r="J447" s="7" t="n"/>
    </row>
    <row r="448" ht="15.75" customHeight="1" s="10">
      <c r="H448" s="7" t="n"/>
      <c r="I448" s="7" t="n"/>
      <c r="J448" s="7" t="n"/>
    </row>
    <row r="449" ht="15.75" customHeight="1" s="10">
      <c r="H449" s="7" t="n"/>
      <c r="I449" s="7" t="n"/>
      <c r="J449" s="7" t="n"/>
    </row>
    <row r="450" ht="15.75" customHeight="1" s="10">
      <c r="H450" s="7" t="n"/>
      <c r="I450" s="7" t="n"/>
      <c r="J450" s="7" t="n"/>
    </row>
    <row r="451" ht="15.75" customHeight="1" s="10">
      <c r="H451" s="7" t="n"/>
      <c r="I451" s="7" t="n"/>
      <c r="J451" s="7" t="n"/>
    </row>
    <row r="452" ht="15.75" customHeight="1" s="10">
      <c r="H452" s="7" t="n"/>
      <c r="I452" s="7" t="n"/>
      <c r="J452" s="7" t="n"/>
    </row>
    <row r="453" ht="15.75" customHeight="1" s="10">
      <c r="H453" s="7" t="n"/>
      <c r="I453" s="7" t="n"/>
      <c r="J453" s="7" t="n"/>
    </row>
    <row r="454" ht="15.75" customHeight="1" s="10">
      <c r="H454" s="7" t="n"/>
      <c r="I454" s="7" t="n"/>
      <c r="J454" s="7" t="n"/>
    </row>
    <row r="455" ht="15.75" customHeight="1" s="10">
      <c r="H455" s="7" t="n"/>
      <c r="I455" s="7" t="n"/>
      <c r="J455" s="7" t="n"/>
    </row>
    <row r="456" ht="15.75" customHeight="1" s="10">
      <c r="H456" s="7" t="n"/>
      <c r="I456" s="7" t="n"/>
      <c r="J456" s="7" t="n"/>
    </row>
    <row r="457" ht="15.75" customHeight="1" s="10">
      <c r="H457" s="7" t="n"/>
      <c r="I457" s="7" t="n"/>
      <c r="J457" s="7" t="n"/>
    </row>
    <row r="458" ht="15.75" customHeight="1" s="10">
      <c r="H458" s="7" t="n"/>
      <c r="I458" s="7" t="n"/>
      <c r="J458" s="7" t="n"/>
    </row>
    <row r="459" ht="15.75" customHeight="1" s="10">
      <c r="H459" s="7" t="n"/>
      <c r="I459" s="7" t="n"/>
      <c r="J459" s="7" t="n"/>
    </row>
    <row r="460" ht="15.75" customHeight="1" s="10">
      <c r="H460" s="7" t="n"/>
      <c r="I460" s="7" t="n"/>
      <c r="J460" s="7" t="n"/>
    </row>
    <row r="461" ht="15.75" customHeight="1" s="10">
      <c r="H461" s="7" t="n"/>
      <c r="I461" s="7" t="n"/>
      <c r="J461" s="7" t="n"/>
    </row>
    <row r="462" ht="15.75" customHeight="1" s="10">
      <c r="H462" s="7" t="n"/>
      <c r="I462" s="7" t="n"/>
      <c r="J462" s="7" t="n"/>
    </row>
    <row r="463" ht="15.75" customHeight="1" s="10">
      <c r="H463" s="7" t="n"/>
      <c r="I463" s="7" t="n"/>
      <c r="J463" s="7" t="n"/>
    </row>
    <row r="464" ht="15.75" customHeight="1" s="10">
      <c r="H464" s="7" t="n"/>
      <c r="I464" s="7" t="n"/>
      <c r="J464" s="7" t="n"/>
    </row>
    <row r="465" ht="15.75" customHeight="1" s="10">
      <c r="H465" s="7" t="n"/>
      <c r="I465" s="7" t="n"/>
      <c r="J465" s="7" t="n"/>
    </row>
    <row r="466" ht="15.75" customHeight="1" s="10">
      <c r="H466" s="7" t="n"/>
      <c r="I466" s="7" t="n"/>
      <c r="J466" s="7" t="n"/>
    </row>
    <row r="467" ht="15.75" customHeight="1" s="10">
      <c r="H467" s="7" t="n"/>
      <c r="I467" s="7" t="n"/>
      <c r="J467" s="7" t="n"/>
    </row>
    <row r="468" ht="15.75" customHeight="1" s="10">
      <c r="H468" s="7" t="n"/>
      <c r="I468" s="7" t="n"/>
      <c r="J468" s="7" t="n"/>
    </row>
    <row r="469" ht="15.75" customHeight="1" s="10">
      <c r="H469" s="7" t="n"/>
      <c r="I469" s="7" t="n"/>
      <c r="J469" s="7" t="n"/>
    </row>
    <row r="470" ht="15.75" customHeight="1" s="10">
      <c r="H470" s="7" t="n"/>
      <c r="I470" s="7" t="n"/>
      <c r="J470" s="7" t="n"/>
    </row>
    <row r="471" ht="15.75" customHeight="1" s="10">
      <c r="H471" s="7" t="n"/>
      <c r="I471" s="7" t="n"/>
      <c r="J471" s="7" t="n"/>
    </row>
    <row r="472" ht="15.75" customHeight="1" s="10">
      <c r="H472" s="7" t="n"/>
      <c r="I472" s="7" t="n"/>
      <c r="J472" s="7" t="n"/>
    </row>
    <row r="473" ht="15.75" customHeight="1" s="10">
      <c r="H473" s="7" t="n"/>
      <c r="I473" s="7" t="n"/>
      <c r="J473" s="7" t="n"/>
    </row>
    <row r="474" ht="15.75" customHeight="1" s="10">
      <c r="H474" s="7" t="n"/>
      <c r="I474" s="7" t="n"/>
      <c r="J474" s="7" t="n"/>
    </row>
    <row r="475" ht="15.75" customHeight="1" s="10">
      <c r="H475" s="7" t="n"/>
      <c r="I475" s="7" t="n"/>
      <c r="J475" s="7" t="n"/>
    </row>
    <row r="476" ht="15.75" customHeight="1" s="10">
      <c r="H476" s="7" t="n"/>
      <c r="I476" s="7" t="n"/>
      <c r="J476" s="7" t="n"/>
    </row>
    <row r="477" ht="15.75" customHeight="1" s="10">
      <c r="H477" s="7" t="n"/>
      <c r="I477" s="7" t="n"/>
      <c r="J477" s="7" t="n"/>
    </row>
    <row r="478" ht="15.75" customHeight="1" s="10">
      <c r="H478" s="7" t="n"/>
      <c r="I478" s="7" t="n"/>
      <c r="J478" s="7" t="n"/>
    </row>
    <row r="479" ht="15.75" customHeight="1" s="10">
      <c r="H479" s="7" t="n"/>
      <c r="I479" s="7" t="n"/>
      <c r="J479" s="7" t="n"/>
    </row>
    <row r="480" ht="15.75" customHeight="1" s="10">
      <c r="H480" s="7" t="n"/>
      <c r="I480" s="7" t="n"/>
      <c r="J480" s="7" t="n"/>
    </row>
    <row r="481" ht="15.75" customHeight="1" s="10">
      <c r="H481" s="7" t="n"/>
      <c r="I481" s="7" t="n"/>
      <c r="J481" s="7" t="n"/>
    </row>
    <row r="482" ht="15.75" customHeight="1" s="10">
      <c r="H482" s="7" t="n"/>
      <c r="I482" s="7" t="n"/>
      <c r="J482" s="7" t="n"/>
    </row>
    <row r="483" ht="15.75" customHeight="1" s="10">
      <c r="H483" s="7" t="n"/>
      <c r="I483" s="7" t="n"/>
      <c r="J483" s="7" t="n"/>
    </row>
    <row r="484" ht="15.75" customHeight="1" s="10">
      <c r="H484" s="7" t="n"/>
      <c r="I484" s="7" t="n"/>
      <c r="J484" s="7" t="n"/>
    </row>
    <row r="485" ht="15.75" customHeight="1" s="10">
      <c r="H485" s="7" t="n"/>
      <c r="I485" s="7" t="n"/>
      <c r="J485" s="7" t="n"/>
    </row>
    <row r="486" ht="15.75" customHeight="1" s="10">
      <c r="H486" s="7" t="n"/>
      <c r="I486" s="7" t="n"/>
      <c r="J486" s="7" t="n"/>
    </row>
    <row r="487" ht="15.75" customHeight="1" s="10">
      <c r="H487" s="7" t="n"/>
      <c r="I487" s="7" t="n"/>
      <c r="J487" s="7" t="n"/>
    </row>
    <row r="488" ht="15.75" customHeight="1" s="10">
      <c r="H488" s="7" t="n"/>
      <c r="I488" s="7" t="n"/>
      <c r="J488" s="7" t="n"/>
    </row>
    <row r="489" ht="15.75" customHeight="1" s="10">
      <c r="H489" s="7" t="n"/>
      <c r="I489" s="7" t="n"/>
      <c r="J489" s="7" t="n"/>
    </row>
    <row r="490" ht="15.75" customHeight="1" s="10">
      <c r="H490" s="7" t="n"/>
      <c r="I490" s="7" t="n"/>
      <c r="J490" s="7" t="n"/>
    </row>
    <row r="491" ht="15.75" customHeight="1" s="10">
      <c r="H491" s="7" t="n"/>
      <c r="I491" s="7" t="n"/>
      <c r="J491" s="7" t="n"/>
    </row>
    <row r="492" ht="15.75" customHeight="1" s="10">
      <c r="H492" s="7" t="n"/>
      <c r="I492" s="7" t="n"/>
      <c r="J492" s="7" t="n"/>
    </row>
    <row r="493" ht="15.75" customHeight="1" s="10">
      <c r="H493" s="7" t="n"/>
      <c r="I493" s="7" t="n"/>
      <c r="J493" s="7" t="n"/>
    </row>
    <row r="494" ht="15.75" customHeight="1" s="10">
      <c r="H494" s="7" t="n"/>
      <c r="I494" s="7" t="n"/>
      <c r="J494" s="7" t="n"/>
    </row>
    <row r="495" ht="15.75" customHeight="1" s="10">
      <c r="H495" s="7" t="n"/>
      <c r="I495" s="7" t="n"/>
      <c r="J495" s="7" t="n"/>
    </row>
    <row r="496" ht="15.75" customHeight="1" s="10">
      <c r="H496" s="7" t="n"/>
      <c r="I496" s="7" t="n"/>
      <c r="J496" s="7" t="n"/>
    </row>
    <row r="497" ht="15.75" customHeight="1" s="10">
      <c r="H497" s="7" t="n"/>
      <c r="I497" s="7" t="n"/>
      <c r="J497" s="7" t="n"/>
    </row>
    <row r="498" ht="15.75" customHeight="1" s="10">
      <c r="H498" s="7" t="n"/>
      <c r="I498" s="7" t="n"/>
      <c r="J498" s="7" t="n"/>
    </row>
    <row r="499" ht="15.75" customHeight="1" s="10">
      <c r="H499" s="7" t="n"/>
      <c r="I499" s="7" t="n"/>
      <c r="J499" s="7" t="n"/>
    </row>
    <row r="500" ht="15.75" customHeight="1" s="10">
      <c r="H500" s="7" t="n"/>
      <c r="I500" s="7" t="n"/>
      <c r="J500" s="7" t="n"/>
    </row>
    <row r="501" ht="15.75" customHeight="1" s="10">
      <c r="H501" s="7" t="n"/>
      <c r="I501" s="7" t="n"/>
      <c r="J501" s="7" t="n"/>
    </row>
    <row r="502" ht="15.75" customHeight="1" s="10">
      <c r="H502" s="7" t="n"/>
      <c r="I502" s="7" t="n"/>
      <c r="J502" s="7" t="n"/>
    </row>
    <row r="503" ht="15.75" customHeight="1" s="10">
      <c r="H503" s="7" t="n"/>
      <c r="I503" s="7" t="n"/>
      <c r="J503" s="7" t="n"/>
    </row>
    <row r="504" ht="15.75" customHeight="1" s="10">
      <c r="H504" s="7" t="n"/>
      <c r="I504" s="7" t="n"/>
      <c r="J504" s="7" t="n"/>
    </row>
    <row r="505" ht="15.75" customHeight="1" s="10">
      <c r="H505" s="7" t="n"/>
      <c r="I505" s="7" t="n"/>
      <c r="J505" s="7" t="n"/>
    </row>
    <row r="506" ht="15.75" customHeight="1" s="10">
      <c r="H506" s="7" t="n"/>
      <c r="I506" s="7" t="n"/>
      <c r="J506" s="7" t="n"/>
    </row>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conditionalFormatting sqref="A2:K174">
    <cfRule type="expression" priority="2" dxfId="1" stopIfTrue="0">
      <formula>$K2&lt;&gt;""</formula>
    </cfRule>
  </conditionalFormatting>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495"/>
  <sheetViews>
    <sheetView workbookViewId="0">
      <selection activeCell="A1" sqref="A1"/>
    </sheetView>
  </sheetViews>
  <sheetFormatPr baseColWidth="8" defaultRowHeight="15"/>
  <cols>
    <col width="12" customWidth="1" style="10" min="1" max="1"/>
    <col width="12" customWidth="1" style="10" min="3" max="3"/>
    <col width="14" customWidth="1" style="10" min="8" max="8"/>
    <col width="16" customWidth="1" style="10" min="9" max="9"/>
    <col width="18" customWidth="1" style="10" min="10" max="10"/>
    <col width="46" customWidth="1" style="10" min="11" max="11"/>
  </cols>
  <sheetData>
    <row r="1">
      <c r="A1" s="11" t="inlineStr">
        <is>
          <t>date</t>
        </is>
      </c>
      <c r="B1" s="11" t="inlineStr">
        <is>
          <t>weekday</t>
        </is>
      </c>
      <c r="C1" s="11" t="inlineStr">
        <is>
          <t>lunar_month</t>
        </is>
      </c>
      <c r="D1" s="11" t="inlineStr">
        <is>
          <t>lunar_day</t>
        </is>
      </c>
      <c r="E1" s="11" t="inlineStr">
        <is>
          <t>lunar_day_eng</t>
        </is>
      </c>
      <c r="F1" s="11" t="inlineStr">
        <is>
          <t>moon_phase</t>
        </is>
      </c>
      <c r="G1" s="11" t="inlineStr">
        <is>
          <t>dharma_event</t>
        </is>
      </c>
      <c r="H1" s="11" t="inlineStr">
        <is>
          <t>六齋日</t>
        </is>
      </c>
      <c r="I1" s="11" t="inlineStr">
        <is>
          <t>lunar_month_eng</t>
        </is>
      </c>
      <c r="J1" s="11" t="inlineStr">
        <is>
          <t>三長齋月</t>
        </is>
      </c>
      <c r="K1" s="11" t="inlineStr">
        <is>
          <t>leap_month</t>
        </is>
      </c>
    </row>
    <row r="2">
      <c r="A2" s="12">
        <f>drba!A174+1</f>
        <v/>
      </c>
      <c r="B2" s="0">
        <f>TEXT(A2,"ddd")</f>
        <v/>
      </c>
      <c r="C2" s="0">
        <f>IFERROR(INDEX(lunar_ref!$B:$B,MATCH($A2,lunar_ref!$A:$A,0)),"")</f>
        <v/>
      </c>
      <c r="D2" s="0">
        <f>IFERROR(INDEX(lunar_ref!$C:$C,MATCH($A2,lunar_ref!$A:$A,0)),"")</f>
        <v/>
      </c>
      <c r="E2" s="0">
        <f>_xlfn.XLOOKUP($D2,lookup!$A:$A,lookup!$B:$B)</f>
        <v/>
      </c>
      <c r="F2" s="0">
        <f>IF($E2=1,"New",IF($E2=15,"Full",""))</f>
        <v/>
      </c>
      <c r="H2" s="0">
        <f>IF($E2="","",IF(OR($E2=8,$E2=14,$E2=15,$E2=23,$E3=1,$E4=1),"Fast day",""))</f>
        <v/>
      </c>
      <c r="I2" s="0">
        <f>IFERROR(INDEX(lookup!$E:$E,MATCH($C2,lookup!$D:$D,0)),"")</f>
        <v/>
      </c>
      <c r="J2" s="0">
        <f>IF($I2="","",IF(OR($I2=1,$I2=5,$I2=9),IF($K2="","Long fast month","Long fast month (LEAP)"),""))</f>
        <v/>
      </c>
      <c r="K2" s="0">
        <f>IFERROR(IF(INDEX(lookup!$G:$G,MATCH($C2,lookup!$D:$D,0))="LEAP","LEAP MONTH - counts as month "&amp;$I2&amp;", flagged for review",""),"")</f>
        <v/>
      </c>
    </row>
    <row r="3">
      <c r="A3" s="12">
        <f>A2+1</f>
        <v/>
      </c>
      <c r="B3" s="0">
        <f>TEXT(A3,"ddd")</f>
        <v/>
      </c>
      <c r="C3" s="0">
        <f>IFERROR(INDEX(lunar_ref!$B:$B,MATCH($A3,lunar_ref!$A:$A,0)),"")</f>
        <v/>
      </c>
      <c r="D3" s="0">
        <f>IFERROR(INDEX(lunar_ref!$C:$C,MATCH($A3,lunar_ref!$A:$A,0)),"")</f>
        <v/>
      </c>
      <c r="E3" s="0">
        <f>_xlfn.XLOOKUP($D3,lookup!$A:$A,lookup!$B:$B)</f>
        <v/>
      </c>
      <c r="F3" s="0">
        <f>IF($E3=1,"New",IF($E3=15,"Full",""))</f>
        <v/>
      </c>
      <c r="H3" s="0">
        <f>IF($E3="","",IF(OR($E3=8,$E3=14,$E3=15,$E3=23,$E4=1,$E5=1),"Fast day",""))</f>
        <v/>
      </c>
      <c r="I3" s="0">
        <f>IFERROR(INDEX(lookup!$E:$E,MATCH($C3,lookup!$D:$D,0)),"")</f>
        <v/>
      </c>
      <c r="J3" s="0">
        <f>IF($I3="","",IF(OR($I3=1,$I3=5,$I3=9),IF($K3="","Long fast month","Long fast month (LEAP)"),""))</f>
        <v/>
      </c>
      <c r="K3" s="0">
        <f>IFERROR(IF(INDEX(lookup!$G:$G,MATCH($C3,lookup!$D:$D,0))="LEAP","LEAP MONTH - counts as month "&amp;$I3&amp;", flagged for review",""),"")</f>
        <v/>
      </c>
    </row>
    <row r="4">
      <c r="A4" s="12">
        <f>A3+1</f>
        <v/>
      </c>
      <c r="B4" s="0">
        <f>TEXT(A4,"ddd")</f>
        <v/>
      </c>
      <c r="C4" s="0">
        <f>IFERROR(INDEX(lunar_ref!$B:$B,MATCH($A4,lunar_ref!$A:$A,0)),"")</f>
        <v/>
      </c>
      <c r="D4" s="0">
        <f>IFERROR(INDEX(lunar_ref!$C:$C,MATCH($A4,lunar_ref!$A:$A,0)),"")</f>
        <v/>
      </c>
      <c r="E4" s="0">
        <f>_xlfn.XLOOKUP($D4,lookup!$A:$A,lookup!$B:$B)</f>
        <v/>
      </c>
      <c r="F4" s="0">
        <f>IF($E4=1,"New",IF($E4=15,"Full",""))</f>
        <v/>
      </c>
      <c r="H4" s="0">
        <f>IF($E4="","",IF(OR($E4=8,$E4=14,$E4=15,$E4=23,$E5=1,$E6=1),"Fast day",""))</f>
        <v/>
      </c>
      <c r="I4" s="0">
        <f>IFERROR(INDEX(lookup!$E:$E,MATCH($C4,lookup!$D:$D,0)),"")</f>
        <v/>
      </c>
      <c r="J4" s="0">
        <f>IF($I4="","",IF(OR($I4=1,$I4=5,$I4=9),IF($K4="","Long fast month","Long fast month (LEAP)"),""))</f>
        <v/>
      </c>
      <c r="K4" s="0">
        <f>IFERROR(IF(INDEX(lookup!$G:$G,MATCH($C4,lookup!$D:$D,0))="LEAP","LEAP MONTH - counts as month "&amp;$I4&amp;", flagged for review",""),"")</f>
        <v/>
      </c>
    </row>
    <row r="5">
      <c r="A5" s="12">
        <f>A4+1</f>
        <v/>
      </c>
      <c r="B5" s="0">
        <f>TEXT(A5,"ddd")</f>
        <v/>
      </c>
      <c r="C5" s="0">
        <f>IFERROR(INDEX(lunar_ref!$B:$B,MATCH($A5,lunar_ref!$A:$A,0)),"")</f>
        <v/>
      </c>
      <c r="D5" s="0">
        <f>IFERROR(INDEX(lunar_ref!$C:$C,MATCH($A5,lunar_ref!$A:$A,0)),"")</f>
        <v/>
      </c>
      <c r="E5" s="0">
        <f>_xlfn.XLOOKUP($D5,lookup!$A:$A,lookup!$B:$B)</f>
        <v/>
      </c>
      <c r="F5" s="0">
        <f>IF($E5=1,"New",IF($E5=15,"Full",""))</f>
        <v/>
      </c>
      <c r="H5" s="0">
        <f>IF($E5="","",IF(OR($E5=8,$E5=14,$E5=15,$E5=23,$E6=1,$E7=1),"Fast day",""))</f>
        <v/>
      </c>
      <c r="I5" s="0">
        <f>IFERROR(INDEX(lookup!$E:$E,MATCH($C5,lookup!$D:$D,0)),"")</f>
        <v/>
      </c>
      <c r="J5" s="0">
        <f>IF($I5="","",IF(OR($I5=1,$I5=5,$I5=9),IF($K5="","Long fast month","Long fast month (LEAP)"),""))</f>
        <v/>
      </c>
      <c r="K5" s="0">
        <f>IFERROR(IF(INDEX(lookup!$G:$G,MATCH($C5,lookup!$D:$D,0))="LEAP","LEAP MONTH - counts as month "&amp;$I5&amp;", flagged for review",""),"")</f>
        <v/>
      </c>
    </row>
    <row r="6">
      <c r="A6" s="12">
        <f>A5+1</f>
        <v/>
      </c>
      <c r="B6" s="0">
        <f>TEXT(A6,"ddd")</f>
        <v/>
      </c>
      <c r="C6" s="0">
        <f>IFERROR(INDEX(lunar_ref!$B:$B,MATCH($A6,lunar_ref!$A:$A,0)),"")</f>
        <v/>
      </c>
      <c r="D6" s="0">
        <f>IFERROR(INDEX(lunar_ref!$C:$C,MATCH($A6,lunar_ref!$A:$A,0)),"")</f>
        <v/>
      </c>
      <c r="E6" s="0">
        <f>_xlfn.XLOOKUP($D6,lookup!$A:$A,lookup!$B:$B)</f>
        <v/>
      </c>
      <c r="F6" s="0">
        <f>IF($E6=1,"New",IF($E6=15,"Full",""))</f>
        <v/>
      </c>
      <c r="H6" s="0">
        <f>IF($E6="","",IF(OR($E6=8,$E6=14,$E6=15,$E6=23,$E7=1,$E8=1),"Fast day",""))</f>
        <v/>
      </c>
      <c r="I6" s="0">
        <f>IFERROR(INDEX(lookup!$E:$E,MATCH($C6,lookup!$D:$D,0)),"")</f>
        <v/>
      </c>
      <c r="J6" s="0">
        <f>IF($I6="","",IF(OR($I6=1,$I6=5,$I6=9),IF($K6="","Long fast month","Long fast month (LEAP)"),""))</f>
        <v/>
      </c>
      <c r="K6" s="0">
        <f>IFERROR(IF(INDEX(lookup!$G:$G,MATCH($C6,lookup!$D:$D,0))="LEAP","LEAP MONTH - counts as month "&amp;$I6&amp;", flagged for review",""),"")</f>
        <v/>
      </c>
    </row>
    <row r="7">
      <c r="A7" s="12">
        <f>A6+1</f>
        <v/>
      </c>
      <c r="B7" s="0">
        <f>TEXT(A7,"ddd")</f>
        <v/>
      </c>
      <c r="C7" s="0">
        <f>IFERROR(INDEX(lunar_ref!$B:$B,MATCH($A7,lunar_ref!$A:$A,0)),"")</f>
        <v/>
      </c>
      <c r="D7" s="0">
        <f>IFERROR(INDEX(lunar_ref!$C:$C,MATCH($A7,lunar_ref!$A:$A,0)),"")</f>
        <v/>
      </c>
      <c r="E7" s="0">
        <f>_xlfn.XLOOKUP($D7,lookup!$A:$A,lookup!$B:$B)</f>
        <v/>
      </c>
      <c r="F7" s="0">
        <f>IF($E7=1,"New",IF($E7=15,"Full",""))</f>
        <v/>
      </c>
      <c r="H7" s="0">
        <f>IF($E7="","",IF(OR($E7=8,$E7=14,$E7=15,$E7=23,$E8=1,$E9=1),"Fast day",""))</f>
        <v/>
      </c>
      <c r="I7" s="0">
        <f>IFERROR(INDEX(lookup!$E:$E,MATCH($C7,lookup!$D:$D,0)),"")</f>
        <v/>
      </c>
      <c r="J7" s="0">
        <f>IF($I7="","",IF(OR($I7=1,$I7=5,$I7=9),IF($K7="","Long fast month","Long fast month (LEAP)"),""))</f>
        <v/>
      </c>
      <c r="K7" s="0">
        <f>IFERROR(IF(INDEX(lookup!$G:$G,MATCH($C7,lookup!$D:$D,0))="LEAP","LEAP MONTH - counts as month "&amp;$I7&amp;", flagged for review",""),"")</f>
        <v/>
      </c>
    </row>
    <row r="8">
      <c r="A8" s="12">
        <f>A7+1</f>
        <v/>
      </c>
      <c r="B8" s="0">
        <f>TEXT(A8,"ddd")</f>
        <v/>
      </c>
      <c r="C8" s="0">
        <f>IFERROR(INDEX(lunar_ref!$B:$B,MATCH($A8,lunar_ref!$A:$A,0)),"")</f>
        <v/>
      </c>
      <c r="D8" s="0">
        <f>IFERROR(INDEX(lunar_ref!$C:$C,MATCH($A8,lunar_ref!$A:$A,0)),"")</f>
        <v/>
      </c>
      <c r="E8" s="0">
        <f>_xlfn.XLOOKUP($D8,lookup!$A:$A,lookup!$B:$B)</f>
        <v/>
      </c>
      <c r="F8" s="0">
        <f>IF($E8=1,"New",IF($E8=15,"Full",""))</f>
        <v/>
      </c>
      <c r="H8" s="0">
        <f>IF($E8="","",IF(OR($E8=8,$E8=14,$E8=15,$E8=23,$E9=1,$E10=1),"Fast day",""))</f>
        <v/>
      </c>
      <c r="I8" s="0">
        <f>IFERROR(INDEX(lookup!$E:$E,MATCH($C8,lookup!$D:$D,0)),"")</f>
        <v/>
      </c>
      <c r="J8" s="0">
        <f>IF($I8="","",IF(OR($I8=1,$I8=5,$I8=9),IF($K8="","Long fast month","Long fast month (LEAP)"),""))</f>
        <v/>
      </c>
      <c r="K8" s="0">
        <f>IFERROR(IF(INDEX(lookup!$G:$G,MATCH($C8,lookup!$D:$D,0))="LEAP","LEAP MONTH - counts as month "&amp;$I8&amp;", flagged for review",""),"")</f>
        <v/>
      </c>
    </row>
    <row r="9">
      <c r="A9" s="12">
        <f>A8+1</f>
        <v/>
      </c>
      <c r="B9" s="0">
        <f>TEXT(A9,"ddd")</f>
        <v/>
      </c>
      <c r="C9" s="0">
        <f>IFERROR(INDEX(lunar_ref!$B:$B,MATCH($A9,lunar_ref!$A:$A,0)),"")</f>
        <v/>
      </c>
      <c r="D9" s="0">
        <f>IFERROR(INDEX(lunar_ref!$C:$C,MATCH($A9,lunar_ref!$A:$A,0)),"")</f>
        <v/>
      </c>
      <c r="E9" s="0">
        <f>_xlfn.XLOOKUP($D9,lookup!$A:$A,lookup!$B:$B)</f>
        <v/>
      </c>
      <c r="F9" s="0">
        <f>IF($E9=1,"New",IF($E9=15,"Full",""))</f>
        <v/>
      </c>
      <c r="H9" s="0">
        <f>IF($E9="","",IF(OR($E9=8,$E9=14,$E9=15,$E9=23,$E10=1,$E11=1),"Fast day",""))</f>
        <v/>
      </c>
      <c r="I9" s="0">
        <f>IFERROR(INDEX(lookup!$E:$E,MATCH($C9,lookup!$D:$D,0)),"")</f>
        <v/>
      </c>
      <c r="J9" s="0">
        <f>IF($I9="","",IF(OR($I9=1,$I9=5,$I9=9),IF($K9="","Long fast month","Long fast month (LEAP)"),""))</f>
        <v/>
      </c>
      <c r="K9" s="0">
        <f>IFERROR(IF(INDEX(lookup!$G:$G,MATCH($C9,lookup!$D:$D,0))="LEAP","LEAP MONTH - counts as month "&amp;$I9&amp;", flagged for review",""),"")</f>
        <v/>
      </c>
    </row>
    <row r="10">
      <c r="A10" s="12">
        <f>A9+1</f>
        <v/>
      </c>
      <c r="B10" s="0">
        <f>TEXT(A10,"ddd")</f>
        <v/>
      </c>
      <c r="C10" s="0">
        <f>IFERROR(INDEX(lunar_ref!$B:$B,MATCH($A10,lunar_ref!$A:$A,0)),"")</f>
        <v/>
      </c>
      <c r="D10" s="0">
        <f>IFERROR(INDEX(lunar_ref!$C:$C,MATCH($A10,lunar_ref!$A:$A,0)),"")</f>
        <v/>
      </c>
      <c r="E10" s="0">
        <f>_xlfn.XLOOKUP($D10,lookup!$A:$A,lookup!$B:$B)</f>
        <v/>
      </c>
      <c r="F10" s="0">
        <f>IF($E10=1,"New",IF($E10=15,"Full",""))</f>
        <v/>
      </c>
      <c r="H10" s="0">
        <f>IF($E10="","",IF(OR($E10=8,$E10=14,$E10=15,$E10=23,$E11=1,$E12=1),"Fast day",""))</f>
        <v/>
      </c>
      <c r="I10" s="0">
        <f>IFERROR(INDEX(lookup!$E:$E,MATCH($C10,lookup!$D:$D,0)),"")</f>
        <v/>
      </c>
      <c r="J10" s="0">
        <f>IF($I10="","",IF(OR($I10=1,$I10=5,$I10=9),IF($K10="","Long fast month","Long fast month (LEAP)"),""))</f>
        <v/>
      </c>
      <c r="K10" s="0">
        <f>IFERROR(IF(INDEX(lookup!$G:$G,MATCH($C10,lookup!$D:$D,0))="LEAP","LEAP MONTH - counts as month "&amp;$I10&amp;", flagged for review",""),"")</f>
        <v/>
      </c>
    </row>
    <row r="11">
      <c r="A11" s="12">
        <f>A10+1</f>
        <v/>
      </c>
      <c r="B11" s="0">
        <f>TEXT(A11,"ddd")</f>
        <v/>
      </c>
      <c r="C11" s="0">
        <f>IFERROR(INDEX(lunar_ref!$B:$B,MATCH($A11,lunar_ref!$A:$A,0)),"")</f>
        <v/>
      </c>
      <c r="D11" s="0">
        <f>IFERROR(INDEX(lunar_ref!$C:$C,MATCH($A11,lunar_ref!$A:$A,0)),"")</f>
        <v/>
      </c>
      <c r="E11" s="0">
        <f>_xlfn.XLOOKUP($D11,lookup!$A:$A,lookup!$B:$B)</f>
        <v/>
      </c>
      <c r="F11" s="0">
        <f>IF($E11=1,"New",IF($E11=15,"Full",""))</f>
        <v/>
      </c>
      <c r="H11" s="0">
        <f>IF($E11="","",IF(OR($E11=8,$E11=14,$E11=15,$E11=23,$E12=1,$E13=1),"Fast day",""))</f>
        <v/>
      </c>
      <c r="I11" s="0">
        <f>IFERROR(INDEX(lookup!$E:$E,MATCH($C11,lookup!$D:$D,0)),"")</f>
        <v/>
      </c>
      <c r="J11" s="0">
        <f>IF($I11="","",IF(OR($I11=1,$I11=5,$I11=9),IF($K11="","Long fast month","Long fast month (LEAP)"),""))</f>
        <v/>
      </c>
      <c r="K11" s="0">
        <f>IFERROR(IF(INDEX(lookup!$G:$G,MATCH($C11,lookup!$D:$D,0))="LEAP","LEAP MONTH - counts as month "&amp;$I11&amp;", flagged for review",""),"")</f>
        <v/>
      </c>
    </row>
    <row r="12">
      <c r="A12" s="12">
        <f>A11+1</f>
        <v/>
      </c>
      <c r="B12" s="0">
        <f>TEXT(A12,"ddd")</f>
        <v/>
      </c>
      <c r="C12" s="0">
        <f>IFERROR(INDEX(lunar_ref!$B:$B,MATCH($A12,lunar_ref!$A:$A,0)),"")</f>
        <v/>
      </c>
      <c r="D12" s="0">
        <f>IFERROR(INDEX(lunar_ref!$C:$C,MATCH($A12,lunar_ref!$A:$A,0)),"")</f>
        <v/>
      </c>
      <c r="E12" s="0">
        <f>_xlfn.XLOOKUP($D12,lookup!$A:$A,lookup!$B:$B)</f>
        <v/>
      </c>
      <c r="F12" s="0">
        <f>IF($E12=1,"New",IF($E12=15,"Full",""))</f>
        <v/>
      </c>
      <c r="H12" s="0">
        <f>IF($E12="","",IF(OR($E12=8,$E12=14,$E12=15,$E12=23,$E13=1,$E14=1),"Fast day",""))</f>
        <v/>
      </c>
      <c r="I12" s="0">
        <f>IFERROR(INDEX(lookup!$E:$E,MATCH($C12,lookup!$D:$D,0)),"")</f>
        <v/>
      </c>
      <c r="J12" s="0">
        <f>IF($I12="","",IF(OR($I12=1,$I12=5,$I12=9),IF($K12="","Long fast month","Long fast month (LEAP)"),""))</f>
        <v/>
      </c>
      <c r="K12" s="0">
        <f>IFERROR(IF(INDEX(lookup!$G:$G,MATCH($C12,lookup!$D:$D,0))="LEAP","LEAP MONTH - counts as month "&amp;$I12&amp;", flagged for review",""),"")</f>
        <v/>
      </c>
    </row>
    <row r="13">
      <c r="A13" s="12">
        <f>A12+1</f>
        <v/>
      </c>
      <c r="B13" s="0">
        <f>TEXT(A13,"ddd")</f>
        <v/>
      </c>
      <c r="C13" s="0">
        <f>IFERROR(INDEX(lunar_ref!$B:$B,MATCH($A13,lunar_ref!$A:$A,0)),"")</f>
        <v/>
      </c>
      <c r="D13" s="0">
        <f>IFERROR(INDEX(lunar_ref!$C:$C,MATCH($A13,lunar_ref!$A:$A,0)),"")</f>
        <v/>
      </c>
      <c r="E13" s="0">
        <f>_xlfn.XLOOKUP($D13,lookup!$A:$A,lookup!$B:$B)</f>
        <v/>
      </c>
      <c r="F13" s="0">
        <f>IF($E13=1,"New",IF($E13=15,"Full",""))</f>
        <v/>
      </c>
      <c r="H13" s="0">
        <f>IF($E13="","",IF(OR($E13=8,$E13=14,$E13=15,$E13=23,$E14=1,$E15=1),"Fast day",""))</f>
        <v/>
      </c>
      <c r="I13" s="0">
        <f>IFERROR(INDEX(lookup!$E:$E,MATCH($C13,lookup!$D:$D,0)),"")</f>
        <v/>
      </c>
      <c r="J13" s="0">
        <f>IF($I13="","",IF(OR($I13=1,$I13=5,$I13=9),IF($K13="","Long fast month","Long fast month (LEAP)"),""))</f>
        <v/>
      </c>
      <c r="K13" s="0">
        <f>IFERROR(IF(INDEX(lookup!$G:$G,MATCH($C13,lookup!$D:$D,0))="LEAP","LEAP MONTH - counts as month "&amp;$I13&amp;", flagged for review",""),"")</f>
        <v/>
      </c>
    </row>
    <row r="14">
      <c r="A14" s="12">
        <f>A13+1</f>
        <v/>
      </c>
      <c r="B14" s="0">
        <f>TEXT(A14,"ddd")</f>
        <v/>
      </c>
      <c r="C14" s="0">
        <f>IFERROR(INDEX(lunar_ref!$B:$B,MATCH($A14,lunar_ref!$A:$A,0)),"")</f>
        <v/>
      </c>
      <c r="D14" s="0">
        <f>IFERROR(INDEX(lunar_ref!$C:$C,MATCH($A14,lunar_ref!$A:$A,0)),"")</f>
        <v/>
      </c>
      <c r="E14" s="0">
        <f>_xlfn.XLOOKUP($D14,lookup!$A:$A,lookup!$B:$B)</f>
        <v/>
      </c>
      <c r="F14" s="0">
        <f>IF($E14=1,"New",IF($E14=15,"Full",""))</f>
        <v/>
      </c>
      <c r="H14" s="0">
        <f>IF($E14="","",IF(OR($E14=8,$E14=14,$E14=15,$E14=23,$E15=1,$E16=1),"Fast day",""))</f>
        <v/>
      </c>
      <c r="I14" s="0">
        <f>IFERROR(INDEX(lookup!$E:$E,MATCH($C14,lookup!$D:$D,0)),"")</f>
        <v/>
      </c>
      <c r="J14" s="0">
        <f>IF($I14="","",IF(OR($I14=1,$I14=5,$I14=9),IF($K14="","Long fast month","Long fast month (LEAP)"),""))</f>
        <v/>
      </c>
      <c r="K14" s="0">
        <f>IFERROR(IF(INDEX(lookup!$G:$G,MATCH($C14,lookup!$D:$D,0))="LEAP","LEAP MONTH - counts as month "&amp;$I14&amp;", flagged for review",""),"")</f>
        <v/>
      </c>
    </row>
    <row r="15">
      <c r="A15" s="12">
        <f>A14+1</f>
        <v/>
      </c>
      <c r="B15" s="0">
        <f>TEXT(A15,"ddd")</f>
        <v/>
      </c>
      <c r="C15" s="0">
        <f>IFERROR(INDEX(lunar_ref!$B:$B,MATCH($A15,lunar_ref!$A:$A,0)),"")</f>
        <v/>
      </c>
      <c r="D15" s="0">
        <f>IFERROR(INDEX(lunar_ref!$C:$C,MATCH($A15,lunar_ref!$A:$A,0)),"")</f>
        <v/>
      </c>
      <c r="E15" s="0">
        <f>_xlfn.XLOOKUP($D15,lookup!$A:$A,lookup!$B:$B)</f>
        <v/>
      </c>
      <c r="F15" s="0">
        <f>IF($E15=1,"New",IF($E15=15,"Full",""))</f>
        <v/>
      </c>
      <c r="H15" s="0">
        <f>IF($E15="","",IF(OR($E15=8,$E15=14,$E15=15,$E15=23,$E16=1,$E17=1),"Fast day",""))</f>
        <v/>
      </c>
      <c r="I15" s="0">
        <f>IFERROR(INDEX(lookup!$E:$E,MATCH($C15,lookup!$D:$D,0)),"")</f>
        <v/>
      </c>
      <c r="J15" s="0">
        <f>IF($I15="","",IF(OR($I15=1,$I15=5,$I15=9),IF($K15="","Long fast month","Long fast month (LEAP)"),""))</f>
        <v/>
      </c>
      <c r="K15" s="0">
        <f>IFERROR(IF(INDEX(lookup!$G:$G,MATCH($C15,lookup!$D:$D,0))="LEAP","LEAP MONTH - counts as month "&amp;$I15&amp;", flagged for review",""),"")</f>
        <v/>
      </c>
    </row>
    <row r="16">
      <c r="A16" s="12">
        <f>A15+1</f>
        <v/>
      </c>
      <c r="B16" s="0">
        <f>TEXT(A16,"ddd")</f>
        <v/>
      </c>
      <c r="C16" s="0">
        <f>IFERROR(INDEX(lunar_ref!$B:$B,MATCH($A16,lunar_ref!$A:$A,0)),"")</f>
        <v/>
      </c>
      <c r="D16" s="0">
        <f>IFERROR(INDEX(lunar_ref!$C:$C,MATCH($A16,lunar_ref!$A:$A,0)),"")</f>
        <v/>
      </c>
      <c r="E16" s="0">
        <f>_xlfn.XLOOKUP($D16,lookup!$A:$A,lookup!$B:$B)</f>
        <v/>
      </c>
      <c r="F16" s="0">
        <f>IF($E16=1,"New",IF($E16=15,"Full",""))</f>
        <v/>
      </c>
      <c r="H16" s="0">
        <f>IF($E16="","",IF(OR($E16=8,$E16=14,$E16=15,$E16=23,$E17=1,$E18=1),"Fast day",""))</f>
        <v/>
      </c>
      <c r="I16" s="0">
        <f>IFERROR(INDEX(lookup!$E:$E,MATCH($C16,lookup!$D:$D,0)),"")</f>
        <v/>
      </c>
      <c r="J16" s="0">
        <f>IF($I16="","",IF(OR($I16=1,$I16=5,$I16=9),IF($K16="","Long fast month","Long fast month (LEAP)"),""))</f>
        <v/>
      </c>
      <c r="K16" s="0">
        <f>IFERROR(IF(INDEX(lookup!$G:$G,MATCH($C16,lookup!$D:$D,0))="LEAP","LEAP MONTH - counts as month "&amp;$I16&amp;", flagged for review",""),"")</f>
        <v/>
      </c>
    </row>
    <row r="17">
      <c r="A17" s="12">
        <f>A16+1</f>
        <v/>
      </c>
      <c r="B17" s="0">
        <f>TEXT(A17,"ddd")</f>
        <v/>
      </c>
      <c r="C17" s="0">
        <f>IFERROR(INDEX(lunar_ref!$B:$B,MATCH($A17,lunar_ref!$A:$A,0)),"")</f>
        <v/>
      </c>
      <c r="D17" s="0">
        <f>IFERROR(INDEX(lunar_ref!$C:$C,MATCH($A17,lunar_ref!$A:$A,0)),"")</f>
        <v/>
      </c>
      <c r="E17" s="0">
        <f>_xlfn.XLOOKUP($D17,lookup!$A:$A,lookup!$B:$B)</f>
        <v/>
      </c>
      <c r="F17" s="0">
        <f>IF($E17=1,"New",IF($E17=15,"Full",""))</f>
        <v/>
      </c>
      <c r="H17" s="0">
        <f>IF($E17="","",IF(OR($E17=8,$E17=14,$E17=15,$E17=23,$E18=1,$E19=1),"Fast day",""))</f>
        <v/>
      </c>
      <c r="I17" s="0">
        <f>IFERROR(INDEX(lookup!$E:$E,MATCH($C17,lookup!$D:$D,0)),"")</f>
        <v/>
      </c>
      <c r="J17" s="0">
        <f>IF($I17="","",IF(OR($I17=1,$I17=5,$I17=9),IF($K17="","Long fast month","Long fast month (LEAP)"),""))</f>
        <v/>
      </c>
      <c r="K17" s="0">
        <f>IFERROR(IF(INDEX(lookup!$G:$G,MATCH($C17,lookup!$D:$D,0))="LEAP","LEAP MONTH - counts as month "&amp;$I17&amp;", flagged for review",""),"")</f>
        <v/>
      </c>
    </row>
    <row r="18">
      <c r="A18" s="12">
        <f>A17+1</f>
        <v/>
      </c>
      <c r="B18" s="0">
        <f>TEXT(A18,"ddd")</f>
        <v/>
      </c>
      <c r="C18" s="0">
        <f>IFERROR(INDEX(lunar_ref!$B:$B,MATCH($A18,lunar_ref!$A:$A,0)),"")</f>
        <v/>
      </c>
      <c r="D18" s="0">
        <f>IFERROR(INDEX(lunar_ref!$C:$C,MATCH($A18,lunar_ref!$A:$A,0)),"")</f>
        <v/>
      </c>
      <c r="E18" s="0">
        <f>_xlfn.XLOOKUP($D18,lookup!$A:$A,lookup!$B:$B)</f>
        <v/>
      </c>
      <c r="F18" s="0">
        <f>IF($E18=1,"New",IF($E18=15,"Full",""))</f>
        <v/>
      </c>
      <c r="H18" s="0">
        <f>IF($E18="","",IF(OR($E18=8,$E18=14,$E18=15,$E18=23,$E19=1,$E20=1),"Fast day",""))</f>
        <v/>
      </c>
      <c r="I18" s="0">
        <f>IFERROR(INDEX(lookup!$E:$E,MATCH($C18,lookup!$D:$D,0)),"")</f>
        <v/>
      </c>
      <c r="J18" s="0">
        <f>IF($I18="","",IF(OR($I18=1,$I18=5,$I18=9),IF($K18="","Long fast month","Long fast month (LEAP)"),""))</f>
        <v/>
      </c>
      <c r="K18" s="0">
        <f>IFERROR(IF(INDEX(lookup!$G:$G,MATCH($C18,lookup!$D:$D,0))="LEAP","LEAP MONTH - counts as month "&amp;$I18&amp;", flagged for review",""),"")</f>
        <v/>
      </c>
    </row>
    <row r="19">
      <c r="A19" s="12">
        <f>A18+1</f>
        <v/>
      </c>
      <c r="B19" s="0">
        <f>TEXT(A19,"ddd")</f>
        <v/>
      </c>
      <c r="C19" s="0">
        <f>IFERROR(INDEX(lunar_ref!$B:$B,MATCH($A19,lunar_ref!$A:$A,0)),"")</f>
        <v/>
      </c>
      <c r="D19" s="0">
        <f>IFERROR(INDEX(lunar_ref!$C:$C,MATCH($A19,lunar_ref!$A:$A,0)),"")</f>
        <v/>
      </c>
      <c r="E19" s="0">
        <f>_xlfn.XLOOKUP($D19,lookup!$A:$A,lookup!$B:$B)</f>
        <v/>
      </c>
      <c r="F19" s="0">
        <f>IF($E19=1,"New",IF($E19=15,"Full",""))</f>
        <v/>
      </c>
      <c r="H19" s="0">
        <f>IF($E19="","",IF(OR($E19=8,$E19=14,$E19=15,$E19=23,$E20=1,$E21=1),"Fast day",""))</f>
        <v/>
      </c>
      <c r="I19" s="0">
        <f>IFERROR(INDEX(lookup!$E:$E,MATCH($C19,lookup!$D:$D,0)),"")</f>
        <v/>
      </c>
      <c r="J19" s="0">
        <f>IF($I19="","",IF(OR($I19=1,$I19=5,$I19=9),IF($K19="","Long fast month","Long fast month (LEAP)"),""))</f>
        <v/>
      </c>
      <c r="K19" s="0">
        <f>IFERROR(IF(INDEX(lookup!$G:$G,MATCH($C19,lookup!$D:$D,0))="LEAP","LEAP MONTH - counts as month "&amp;$I19&amp;", flagged for review",""),"")</f>
        <v/>
      </c>
    </row>
    <row r="20">
      <c r="A20" s="12">
        <f>A19+1</f>
        <v/>
      </c>
      <c r="B20" s="0">
        <f>TEXT(A20,"ddd")</f>
        <v/>
      </c>
      <c r="C20" s="0">
        <f>IFERROR(INDEX(lunar_ref!$B:$B,MATCH($A20,lunar_ref!$A:$A,0)),"")</f>
        <v/>
      </c>
      <c r="D20" s="0">
        <f>IFERROR(INDEX(lunar_ref!$C:$C,MATCH($A20,lunar_ref!$A:$A,0)),"")</f>
        <v/>
      </c>
      <c r="E20" s="0">
        <f>_xlfn.XLOOKUP($D20,lookup!$A:$A,lookup!$B:$B)</f>
        <v/>
      </c>
      <c r="F20" s="0">
        <f>IF($E20=1,"New",IF($E20=15,"Full",""))</f>
        <v/>
      </c>
      <c r="H20" s="0">
        <f>IF($E20="","",IF(OR($E20=8,$E20=14,$E20=15,$E20=23,$E21=1,$E22=1),"Fast day",""))</f>
        <v/>
      </c>
      <c r="I20" s="0">
        <f>IFERROR(INDEX(lookup!$E:$E,MATCH($C20,lookup!$D:$D,0)),"")</f>
        <v/>
      </c>
      <c r="J20" s="0">
        <f>IF($I20="","",IF(OR($I20=1,$I20=5,$I20=9),IF($K20="","Long fast month","Long fast month (LEAP)"),""))</f>
        <v/>
      </c>
      <c r="K20" s="0">
        <f>IFERROR(IF(INDEX(lookup!$G:$G,MATCH($C20,lookup!$D:$D,0))="LEAP","LEAP MONTH - counts as month "&amp;$I20&amp;", flagged for review",""),"")</f>
        <v/>
      </c>
    </row>
    <row r="21">
      <c r="A21" s="12">
        <f>A20+1</f>
        <v/>
      </c>
      <c r="B21" s="0">
        <f>TEXT(A21,"ddd")</f>
        <v/>
      </c>
      <c r="C21" s="0">
        <f>IFERROR(INDEX(lunar_ref!$B:$B,MATCH($A21,lunar_ref!$A:$A,0)),"")</f>
        <v/>
      </c>
      <c r="D21" s="0">
        <f>IFERROR(INDEX(lunar_ref!$C:$C,MATCH($A21,lunar_ref!$A:$A,0)),"")</f>
        <v/>
      </c>
      <c r="E21" s="0">
        <f>_xlfn.XLOOKUP($D21,lookup!$A:$A,lookup!$B:$B)</f>
        <v/>
      </c>
      <c r="F21" s="0">
        <f>IF($E21=1,"New",IF($E21=15,"Full",""))</f>
        <v/>
      </c>
      <c r="H21" s="0">
        <f>IF($E21="","",IF(OR($E21=8,$E21=14,$E21=15,$E21=23,$E22=1,$E23=1),"Fast day",""))</f>
        <v/>
      </c>
      <c r="I21" s="0">
        <f>IFERROR(INDEX(lookup!$E:$E,MATCH($C21,lookup!$D:$D,0)),"")</f>
        <v/>
      </c>
      <c r="J21" s="0">
        <f>IF($I21="","",IF(OR($I21=1,$I21=5,$I21=9),IF($K21="","Long fast month","Long fast month (LEAP)"),""))</f>
        <v/>
      </c>
      <c r="K21" s="0">
        <f>IFERROR(IF(INDEX(lookup!$G:$G,MATCH($C21,lookup!$D:$D,0))="LEAP","LEAP MONTH - counts as month "&amp;$I21&amp;", flagged for review",""),"")</f>
        <v/>
      </c>
    </row>
    <row r="22">
      <c r="A22" s="12">
        <f>A21+1</f>
        <v/>
      </c>
      <c r="B22" s="0">
        <f>TEXT(A22,"ddd")</f>
        <v/>
      </c>
      <c r="C22" s="0">
        <f>IFERROR(INDEX(lunar_ref!$B:$B,MATCH($A22,lunar_ref!$A:$A,0)),"")</f>
        <v/>
      </c>
      <c r="D22" s="0">
        <f>IFERROR(INDEX(lunar_ref!$C:$C,MATCH($A22,lunar_ref!$A:$A,0)),"")</f>
        <v/>
      </c>
      <c r="E22" s="0">
        <f>_xlfn.XLOOKUP($D22,lookup!$A:$A,lookup!$B:$B)</f>
        <v/>
      </c>
      <c r="F22" s="0">
        <f>IF($E22=1,"New",IF($E22=15,"Full",""))</f>
        <v/>
      </c>
      <c r="H22" s="0">
        <f>IF($E22="","",IF(OR($E22=8,$E22=14,$E22=15,$E22=23,$E23=1,$E24=1),"Fast day",""))</f>
        <v/>
      </c>
      <c r="I22" s="0">
        <f>IFERROR(INDEX(lookup!$E:$E,MATCH($C22,lookup!$D:$D,0)),"")</f>
        <v/>
      </c>
      <c r="J22" s="0">
        <f>IF($I22="","",IF(OR($I22=1,$I22=5,$I22=9),IF($K22="","Long fast month","Long fast month (LEAP)"),""))</f>
        <v/>
      </c>
      <c r="K22" s="0">
        <f>IFERROR(IF(INDEX(lookup!$G:$G,MATCH($C22,lookup!$D:$D,0))="LEAP","LEAP MONTH - counts as month "&amp;$I22&amp;", flagged for review",""),"")</f>
        <v/>
      </c>
    </row>
    <row r="23">
      <c r="A23" s="12">
        <f>A22+1</f>
        <v/>
      </c>
      <c r="B23" s="0">
        <f>TEXT(A23,"ddd")</f>
        <v/>
      </c>
      <c r="C23" s="0">
        <f>IFERROR(INDEX(lunar_ref!$B:$B,MATCH($A23,lunar_ref!$A:$A,0)),"")</f>
        <v/>
      </c>
      <c r="D23" s="0">
        <f>IFERROR(INDEX(lunar_ref!$C:$C,MATCH($A23,lunar_ref!$A:$A,0)),"")</f>
        <v/>
      </c>
      <c r="E23" s="0">
        <f>_xlfn.XLOOKUP($D23,lookup!$A:$A,lookup!$B:$B)</f>
        <v/>
      </c>
      <c r="F23" s="0">
        <f>IF($E23=1,"New",IF($E23=15,"Full",""))</f>
        <v/>
      </c>
      <c r="H23" s="0">
        <f>IF($E23="","",IF(OR($E23=8,$E23=14,$E23=15,$E23=23,$E24=1,$E25=1),"Fast day",""))</f>
        <v/>
      </c>
      <c r="I23" s="0">
        <f>IFERROR(INDEX(lookup!$E:$E,MATCH($C23,lookup!$D:$D,0)),"")</f>
        <v/>
      </c>
      <c r="J23" s="0">
        <f>IF($I23="","",IF(OR($I23=1,$I23=5,$I23=9),IF($K23="","Long fast month","Long fast month (LEAP)"),""))</f>
        <v/>
      </c>
      <c r="K23" s="0">
        <f>IFERROR(IF(INDEX(lookup!$G:$G,MATCH($C23,lookup!$D:$D,0))="LEAP","LEAP MONTH - counts as month "&amp;$I23&amp;", flagged for review",""),"")</f>
        <v/>
      </c>
    </row>
    <row r="24">
      <c r="A24" s="12">
        <f>A23+1</f>
        <v/>
      </c>
      <c r="B24" s="0">
        <f>TEXT(A24,"ddd")</f>
        <v/>
      </c>
      <c r="C24" s="0">
        <f>IFERROR(INDEX(lunar_ref!$B:$B,MATCH($A24,lunar_ref!$A:$A,0)),"")</f>
        <v/>
      </c>
      <c r="D24" s="0">
        <f>IFERROR(INDEX(lunar_ref!$C:$C,MATCH($A24,lunar_ref!$A:$A,0)),"")</f>
        <v/>
      </c>
      <c r="E24" s="0">
        <f>_xlfn.XLOOKUP($D24,lookup!$A:$A,lookup!$B:$B)</f>
        <v/>
      </c>
      <c r="F24" s="0">
        <f>IF($E24=1,"New",IF($E24=15,"Full",""))</f>
        <v/>
      </c>
      <c r="H24" s="0">
        <f>IF($E24="","",IF(OR($E24=8,$E24=14,$E24=15,$E24=23,$E25=1,$E26=1),"Fast day",""))</f>
        <v/>
      </c>
      <c r="I24" s="0">
        <f>IFERROR(INDEX(lookup!$E:$E,MATCH($C24,lookup!$D:$D,0)),"")</f>
        <v/>
      </c>
      <c r="J24" s="0">
        <f>IF($I24="","",IF(OR($I24=1,$I24=5,$I24=9),IF($K24="","Long fast month","Long fast month (LEAP)"),""))</f>
        <v/>
      </c>
      <c r="K24" s="0">
        <f>IFERROR(IF(INDEX(lookup!$G:$G,MATCH($C24,lookup!$D:$D,0))="LEAP","LEAP MONTH - counts as month "&amp;$I24&amp;", flagged for review",""),"")</f>
        <v/>
      </c>
    </row>
    <row r="25">
      <c r="A25" s="12">
        <f>A24+1</f>
        <v/>
      </c>
      <c r="B25" s="0">
        <f>TEXT(A25,"ddd")</f>
        <v/>
      </c>
      <c r="C25" s="0">
        <f>IFERROR(INDEX(lunar_ref!$B:$B,MATCH($A25,lunar_ref!$A:$A,0)),"")</f>
        <v/>
      </c>
      <c r="D25" s="0">
        <f>IFERROR(INDEX(lunar_ref!$C:$C,MATCH($A25,lunar_ref!$A:$A,0)),"")</f>
        <v/>
      </c>
      <c r="E25" s="0">
        <f>_xlfn.XLOOKUP($D25,lookup!$A:$A,lookup!$B:$B)</f>
        <v/>
      </c>
      <c r="F25" s="0">
        <f>IF($E25=1,"New",IF($E25=15,"Full",""))</f>
        <v/>
      </c>
      <c r="H25" s="0">
        <f>IF($E25="","",IF(OR($E25=8,$E25=14,$E25=15,$E25=23,$E26=1,$E27=1),"Fast day",""))</f>
        <v/>
      </c>
      <c r="I25" s="0">
        <f>IFERROR(INDEX(lookup!$E:$E,MATCH($C25,lookup!$D:$D,0)),"")</f>
        <v/>
      </c>
      <c r="J25" s="0">
        <f>IF($I25="","",IF(OR($I25=1,$I25=5,$I25=9),IF($K25="","Long fast month","Long fast month (LEAP)"),""))</f>
        <v/>
      </c>
      <c r="K25" s="0">
        <f>IFERROR(IF(INDEX(lookup!$G:$G,MATCH($C25,lookup!$D:$D,0))="LEAP","LEAP MONTH - counts as month "&amp;$I25&amp;", flagged for review",""),"")</f>
        <v/>
      </c>
    </row>
    <row r="26">
      <c r="A26" s="12">
        <f>A25+1</f>
        <v/>
      </c>
      <c r="B26" s="0">
        <f>TEXT(A26,"ddd")</f>
        <v/>
      </c>
      <c r="C26" s="0">
        <f>IFERROR(INDEX(lunar_ref!$B:$B,MATCH($A26,lunar_ref!$A:$A,0)),"")</f>
        <v/>
      </c>
      <c r="D26" s="0">
        <f>IFERROR(INDEX(lunar_ref!$C:$C,MATCH($A26,lunar_ref!$A:$A,0)),"")</f>
        <v/>
      </c>
      <c r="E26" s="0">
        <f>_xlfn.XLOOKUP($D26,lookup!$A:$A,lookup!$B:$B)</f>
        <v/>
      </c>
      <c r="F26" s="0">
        <f>IF($E26=1,"New",IF($E26=15,"Full",""))</f>
        <v/>
      </c>
      <c r="H26" s="0">
        <f>IF($E26="","",IF(OR($E26=8,$E26=14,$E26=15,$E26=23,$E27=1,$E28=1),"Fast day",""))</f>
        <v/>
      </c>
      <c r="I26" s="0">
        <f>IFERROR(INDEX(lookup!$E:$E,MATCH($C26,lookup!$D:$D,0)),"")</f>
        <v/>
      </c>
      <c r="J26" s="0">
        <f>IF($I26="","",IF(OR($I26=1,$I26=5,$I26=9),IF($K26="","Long fast month","Long fast month (LEAP)"),""))</f>
        <v/>
      </c>
      <c r="K26" s="0">
        <f>IFERROR(IF(INDEX(lookup!$G:$G,MATCH($C26,lookup!$D:$D,0))="LEAP","LEAP MONTH - counts as month "&amp;$I26&amp;", flagged for review",""),"")</f>
        <v/>
      </c>
    </row>
    <row r="27">
      <c r="A27" s="12">
        <f>A26+1</f>
        <v/>
      </c>
      <c r="B27" s="0">
        <f>TEXT(A27,"ddd")</f>
        <v/>
      </c>
      <c r="C27" s="0">
        <f>IFERROR(INDEX(lunar_ref!$B:$B,MATCH($A27,lunar_ref!$A:$A,0)),"")</f>
        <v/>
      </c>
      <c r="D27" s="0">
        <f>IFERROR(INDEX(lunar_ref!$C:$C,MATCH($A27,lunar_ref!$A:$A,0)),"")</f>
        <v/>
      </c>
      <c r="E27" s="0">
        <f>_xlfn.XLOOKUP($D27,lookup!$A:$A,lookup!$B:$B)</f>
        <v/>
      </c>
      <c r="F27" s="0">
        <f>IF($E27=1,"New",IF($E27=15,"Full",""))</f>
        <v/>
      </c>
      <c r="H27" s="0">
        <f>IF($E27="","",IF(OR($E27=8,$E27=14,$E27=15,$E27=23,$E28=1,$E29=1),"Fast day",""))</f>
        <v/>
      </c>
      <c r="I27" s="0">
        <f>IFERROR(INDEX(lookup!$E:$E,MATCH($C27,lookup!$D:$D,0)),"")</f>
        <v/>
      </c>
      <c r="J27" s="0">
        <f>IF($I27="","",IF(OR($I27=1,$I27=5,$I27=9),IF($K27="","Long fast month","Long fast month (LEAP)"),""))</f>
        <v/>
      </c>
      <c r="K27" s="0">
        <f>IFERROR(IF(INDEX(lookup!$G:$G,MATCH($C27,lookup!$D:$D,0))="LEAP","LEAP MONTH - counts as month "&amp;$I27&amp;", flagged for review",""),"")</f>
        <v/>
      </c>
    </row>
    <row r="28">
      <c r="A28" s="12">
        <f>A27+1</f>
        <v/>
      </c>
      <c r="B28" s="0">
        <f>TEXT(A28,"ddd")</f>
        <v/>
      </c>
      <c r="C28" s="0">
        <f>IFERROR(INDEX(lunar_ref!$B:$B,MATCH($A28,lunar_ref!$A:$A,0)),"")</f>
        <v/>
      </c>
      <c r="D28" s="0">
        <f>IFERROR(INDEX(lunar_ref!$C:$C,MATCH($A28,lunar_ref!$A:$A,0)),"")</f>
        <v/>
      </c>
      <c r="E28" s="0">
        <f>_xlfn.XLOOKUP($D28,lookup!$A:$A,lookup!$B:$B)</f>
        <v/>
      </c>
      <c r="F28" s="0">
        <f>IF($E28=1,"New",IF($E28=15,"Full",""))</f>
        <v/>
      </c>
      <c r="H28" s="0">
        <f>IF($E28="","",IF(OR($E28=8,$E28=14,$E28=15,$E28=23,$E29=1,$E30=1),"Fast day",""))</f>
        <v/>
      </c>
      <c r="I28" s="0">
        <f>IFERROR(INDEX(lookup!$E:$E,MATCH($C28,lookup!$D:$D,0)),"")</f>
        <v/>
      </c>
      <c r="J28" s="0">
        <f>IF($I28="","",IF(OR($I28=1,$I28=5,$I28=9),IF($K28="","Long fast month","Long fast month (LEAP)"),""))</f>
        <v/>
      </c>
      <c r="K28" s="0">
        <f>IFERROR(IF(INDEX(lookup!$G:$G,MATCH($C28,lookup!$D:$D,0))="LEAP","LEAP MONTH - counts as month "&amp;$I28&amp;", flagged for review",""),"")</f>
        <v/>
      </c>
    </row>
    <row r="29">
      <c r="A29" s="12">
        <f>A28+1</f>
        <v/>
      </c>
      <c r="B29" s="0">
        <f>TEXT(A29,"ddd")</f>
        <v/>
      </c>
      <c r="C29" s="0">
        <f>IFERROR(INDEX(lunar_ref!$B:$B,MATCH($A29,lunar_ref!$A:$A,0)),"")</f>
        <v/>
      </c>
      <c r="D29" s="0">
        <f>IFERROR(INDEX(lunar_ref!$C:$C,MATCH($A29,lunar_ref!$A:$A,0)),"")</f>
        <v/>
      </c>
      <c r="E29" s="0">
        <f>_xlfn.XLOOKUP($D29,lookup!$A:$A,lookup!$B:$B)</f>
        <v/>
      </c>
      <c r="F29" s="0">
        <f>IF($E29=1,"New",IF($E29=15,"Full",""))</f>
        <v/>
      </c>
      <c r="H29" s="0">
        <f>IF($E29="","",IF(OR($E29=8,$E29=14,$E29=15,$E29=23,$E30=1,$E31=1),"Fast day",""))</f>
        <v/>
      </c>
      <c r="I29" s="0">
        <f>IFERROR(INDEX(lookup!$E:$E,MATCH($C29,lookup!$D:$D,0)),"")</f>
        <v/>
      </c>
      <c r="J29" s="0">
        <f>IF($I29="","",IF(OR($I29=1,$I29=5,$I29=9),IF($K29="","Long fast month","Long fast month (LEAP)"),""))</f>
        <v/>
      </c>
      <c r="K29" s="0">
        <f>IFERROR(IF(INDEX(lookup!$G:$G,MATCH($C29,lookup!$D:$D,0))="LEAP","LEAP MONTH - counts as month "&amp;$I29&amp;", flagged for review",""),"")</f>
        <v/>
      </c>
    </row>
    <row r="30">
      <c r="A30" s="12">
        <f>A29+1</f>
        <v/>
      </c>
      <c r="B30" s="0">
        <f>TEXT(A30,"ddd")</f>
        <v/>
      </c>
      <c r="C30" s="0">
        <f>IFERROR(INDEX(lunar_ref!$B:$B,MATCH($A30,lunar_ref!$A:$A,0)),"")</f>
        <v/>
      </c>
      <c r="D30" s="0">
        <f>IFERROR(INDEX(lunar_ref!$C:$C,MATCH($A30,lunar_ref!$A:$A,0)),"")</f>
        <v/>
      </c>
      <c r="E30" s="0">
        <f>_xlfn.XLOOKUP($D30,lookup!$A:$A,lookup!$B:$B)</f>
        <v/>
      </c>
      <c r="F30" s="0">
        <f>IF($E30=1,"New",IF($E30=15,"Full",""))</f>
        <v/>
      </c>
      <c r="H30" s="0">
        <f>IF($E30="","",IF(OR($E30=8,$E30=14,$E30=15,$E30=23,$E31=1,$E32=1),"Fast day",""))</f>
        <v/>
      </c>
      <c r="I30" s="0">
        <f>IFERROR(INDEX(lookup!$E:$E,MATCH($C30,lookup!$D:$D,0)),"")</f>
        <v/>
      </c>
      <c r="J30" s="0">
        <f>IF($I30="","",IF(OR($I30=1,$I30=5,$I30=9),IF($K30="","Long fast month","Long fast month (LEAP)"),""))</f>
        <v/>
      </c>
      <c r="K30" s="0">
        <f>IFERROR(IF(INDEX(lookup!$G:$G,MATCH($C30,lookup!$D:$D,0))="LEAP","LEAP MONTH - counts as month "&amp;$I30&amp;", flagged for review",""),"")</f>
        <v/>
      </c>
    </row>
    <row r="31">
      <c r="A31" s="12">
        <f>A30+1</f>
        <v/>
      </c>
      <c r="B31" s="0">
        <f>TEXT(A31,"ddd")</f>
        <v/>
      </c>
      <c r="C31" s="0">
        <f>IFERROR(INDEX(lunar_ref!$B:$B,MATCH($A31,lunar_ref!$A:$A,0)),"")</f>
        <v/>
      </c>
      <c r="D31" s="0">
        <f>IFERROR(INDEX(lunar_ref!$C:$C,MATCH($A31,lunar_ref!$A:$A,0)),"")</f>
        <v/>
      </c>
      <c r="E31" s="0">
        <f>_xlfn.XLOOKUP($D31,lookup!$A:$A,lookup!$B:$B)</f>
        <v/>
      </c>
      <c r="F31" s="0">
        <f>IF($E31=1,"New",IF($E31=15,"Full",""))</f>
        <v/>
      </c>
      <c r="H31" s="0">
        <f>IF($E31="","",IF(OR($E31=8,$E31=14,$E31=15,$E31=23,$E32=1,$E33=1),"Fast day",""))</f>
        <v/>
      </c>
      <c r="I31" s="0">
        <f>IFERROR(INDEX(lookup!$E:$E,MATCH($C31,lookup!$D:$D,0)),"")</f>
        <v/>
      </c>
      <c r="J31" s="0">
        <f>IF($I31="","",IF(OR($I31=1,$I31=5,$I31=9),IF($K31="","Long fast month","Long fast month (LEAP)"),""))</f>
        <v/>
      </c>
      <c r="K31" s="0">
        <f>IFERROR(IF(INDEX(lookup!$G:$G,MATCH($C31,lookup!$D:$D,0))="LEAP","LEAP MONTH - counts as month "&amp;$I31&amp;", flagged for review",""),"")</f>
        <v/>
      </c>
    </row>
    <row r="32">
      <c r="A32" s="12">
        <f>A31+1</f>
        <v/>
      </c>
      <c r="B32" s="0">
        <f>TEXT(A32,"ddd")</f>
        <v/>
      </c>
      <c r="C32" s="0">
        <f>IFERROR(INDEX(lunar_ref!$B:$B,MATCH($A32,lunar_ref!$A:$A,0)),"")</f>
        <v/>
      </c>
      <c r="D32" s="0">
        <f>IFERROR(INDEX(lunar_ref!$C:$C,MATCH($A32,lunar_ref!$A:$A,0)),"")</f>
        <v/>
      </c>
      <c r="E32" s="0">
        <f>_xlfn.XLOOKUP($D32,lookup!$A:$A,lookup!$B:$B)</f>
        <v/>
      </c>
      <c r="F32" s="0">
        <f>IF($E32=1,"New",IF($E32=15,"Full",""))</f>
        <v/>
      </c>
      <c r="H32" s="0">
        <f>IF($E32="","",IF(OR($E32=8,$E32=14,$E32=15,$E32=23,$E33=1,$E34=1),"Fast day",""))</f>
        <v/>
      </c>
      <c r="I32" s="0">
        <f>IFERROR(INDEX(lookup!$E:$E,MATCH($C32,lookup!$D:$D,0)),"")</f>
        <v/>
      </c>
      <c r="J32" s="0">
        <f>IF($I32="","",IF(OR($I32=1,$I32=5,$I32=9),IF($K32="","Long fast month","Long fast month (LEAP)"),""))</f>
        <v/>
      </c>
      <c r="K32" s="0">
        <f>IFERROR(IF(INDEX(lookup!$G:$G,MATCH($C32,lookup!$D:$D,0))="LEAP","LEAP MONTH - counts as month "&amp;$I32&amp;", flagged for review",""),"")</f>
        <v/>
      </c>
    </row>
    <row r="33">
      <c r="A33" s="12">
        <f>A32+1</f>
        <v/>
      </c>
      <c r="B33" s="0">
        <f>TEXT(A33,"ddd")</f>
        <v/>
      </c>
      <c r="C33" s="0">
        <f>IFERROR(INDEX(lunar_ref!$B:$B,MATCH($A33,lunar_ref!$A:$A,0)),"")</f>
        <v/>
      </c>
      <c r="D33" s="0">
        <f>IFERROR(INDEX(lunar_ref!$C:$C,MATCH($A33,lunar_ref!$A:$A,0)),"")</f>
        <v/>
      </c>
      <c r="E33" s="0">
        <f>_xlfn.XLOOKUP($D33,lookup!$A:$A,lookup!$B:$B)</f>
        <v/>
      </c>
      <c r="F33" s="0">
        <f>IF($E33=1,"New",IF($E33=15,"Full",""))</f>
        <v/>
      </c>
      <c r="H33" s="0">
        <f>IF($E33="","",IF(OR($E33=8,$E33=14,$E33=15,$E33=23,$E34=1,$E35=1),"Fast day",""))</f>
        <v/>
      </c>
      <c r="I33" s="0">
        <f>IFERROR(INDEX(lookup!$E:$E,MATCH($C33,lookup!$D:$D,0)),"")</f>
        <v/>
      </c>
      <c r="J33" s="0">
        <f>IF($I33="","",IF(OR($I33=1,$I33=5,$I33=9),IF($K33="","Long fast month","Long fast month (LEAP)"),""))</f>
        <v/>
      </c>
      <c r="K33" s="0">
        <f>IFERROR(IF(INDEX(lookup!$G:$G,MATCH($C33,lookup!$D:$D,0))="LEAP","LEAP MONTH - counts as month "&amp;$I33&amp;", flagged for review",""),"")</f>
        <v/>
      </c>
    </row>
    <row r="34">
      <c r="A34" s="12">
        <f>A33+1</f>
        <v/>
      </c>
      <c r="B34" s="0">
        <f>TEXT(A34,"ddd")</f>
        <v/>
      </c>
      <c r="C34" s="0">
        <f>IFERROR(INDEX(lunar_ref!$B:$B,MATCH($A34,lunar_ref!$A:$A,0)),"")</f>
        <v/>
      </c>
      <c r="D34" s="0">
        <f>IFERROR(INDEX(lunar_ref!$C:$C,MATCH($A34,lunar_ref!$A:$A,0)),"")</f>
        <v/>
      </c>
      <c r="E34" s="0">
        <f>_xlfn.XLOOKUP($D34,lookup!$A:$A,lookup!$B:$B)</f>
        <v/>
      </c>
      <c r="F34" s="0">
        <f>IF($E34=1,"New",IF($E34=15,"Full",""))</f>
        <v/>
      </c>
      <c r="H34" s="0">
        <f>IF($E34="","",IF(OR($E34=8,$E34=14,$E34=15,$E34=23,$E35=1,$E36=1),"Fast day",""))</f>
        <v/>
      </c>
      <c r="I34" s="0">
        <f>IFERROR(INDEX(lookup!$E:$E,MATCH($C34,lookup!$D:$D,0)),"")</f>
        <v/>
      </c>
      <c r="J34" s="0">
        <f>IF($I34="","",IF(OR($I34=1,$I34=5,$I34=9),IF($K34="","Long fast month","Long fast month (LEAP)"),""))</f>
        <v/>
      </c>
      <c r="K34" s="0">
        <f>IFERROR(IF(INDEX(lookup!$G:$G,MATCH($C34,lookup!$D:$D,0))="LEAP","LEAP MONTH - counts as month "&amp;$I34&amp;", flagged for review",""),"")</f>
        <v/>
      </c>
    </row>
    <row r="35">
      <c r="A35" s="12">
        <f>A34+1</f>
        <v/>
      </c>
      <c r="B35" s="0">
        <f>TEXT(A35,"ddd")</f>
        <v/>
      </c>
      <c r="C35" s="0">
        <f>IFERROR(INDEX(lunar_ref!$B:$B,MATCH($A35,lunar_ref!$A:$A,0)),"")</f>
        <v/>
      </c>
      <c r="D35" s="0">
        <f>IFERROR(INDEX(lunar_ref!$C:$C,MATCH($A35,lunar_ref!$A:$A,0)),"")</f>
        <v/>
      </c>
      <c r="E35" s="0">
        <f>_xlfn.XLOOKUP($D35,lookup!$A:$A,lookup!$B:$B)</f>
        <v/>
      </c>
      <c r="F35" s="0">
        <f>IF($E35=1,"New",IF($E35=15,"Full",""))</f>
        <v/>
      </c>
      <c r="H35" s="0">
        <f>IF($E35="","",IF(OR($E35=8,$E35=14,$E35=15,$E35=23,$E36=1,$E37=1),"Fast day",""))</f>
        <v/>
      </c>
      <c r="I35" s="0">
        <f>IFERROR(INDEX(lookup!$E:$E,MATCH($C35,lookup!$D:$D,0)),"")</f>
        <v/>
      </c>
      <c r="J35" s="0">
        <f>IF($I35="","",IF(OR($I35=1,$I35=5,$I35=9),IF($K35="","Long fast month","Long fast month (LEAP)"),""))</f>
        <v/>
      </c>
      <c r="K35" s="0">
        <f>IFERROR(IF(INDEX(lookup!$G:$G,MATCH($C35,lookup!$D:$D,0))="LEAP","LEAP MONTH - counts as month "&amp;$I35&amp;", flagged for review",""),"")</f>
        <v/>
      </c>
    </row>
    <row r="36">
      <c r="A36" s="12">
        <f>A35+1</f>
        <v/>
      </c>
      <c r="B36" s="0">
        <f>TEXT(A36,"ddd")</f>
        <v/>
      </c>
      <c r="C36" s="0">
        <f>IFERROR(INDEX(lunar_ref!$B:$B,MATCH($A36,lunar_ref!$A:$A,0)),"")</f>
        <v/>
      </c>
      <c r="D36" s="0">
        <f>IFERROR(INDEX(lunar_ref!$C:$C,MATCH($A36,lunar_ref!$A:$A,0)),"")</f>
        <v/>
      </c>
      <c r="E36" s="0">
        <f>_xlfn.XLOOKUP($D36,lookup!$A:$A,lookup!$B:$B)</f>
        <v/>
      </c>
      <c r="F36" s="0">
        <f>IF($E36=1,"New",IF($E36=15,"Full",""))</f>
        <v/>
      </c>
      <c r="H36" s="0">
        <f>IF($E36="","",IF(OR($E36=8,$E36=14,$E36=15,$E36=23,$E37=1,$E38=1),"Fast day",""))</f>
        <v/>
      </c>
      <c r="I36" s="0">
        <f>IFERROR(INDEX(lookup!$E:$E,MATCH($C36,lookup!$D:$D,0)),"")</f>
        <v/>
      </c>
      <c r="J36" s="0">
        <f>IF($I36="","",IF(OR($I36=1,$I36=5,$I36=9),IF($K36="","Long fast month","Long fast month (LEAP)"),""))</f>
        <v/>
      </c>
      <c r="K36" s="0">
        <f>IFERROR(IF(INDEX(lookup!$G:$G,MATCH($C36,lookup!$D:$D,0))="LEAP","LEAP MONTH - counts as month "&amp;$I36&amp;", flagged for review",""),"")</f>
        <v/>
      </c>
    </row>
    <row r="37">
      <c r="A37" s="12">
        <f>A36+1</f>
        <v/>
      </c>
      <c r="B37" s="0">
        <f>TEXT(A37,"ddd")</f>
        <v/>
      </c>
      <c r="C37" s="0">
        <f>IFERROR(INDEX(lunar_ref!$B:$B,MATCH($A37,lunar_ref!$A:$A,0)),"")</f>
        <v/>
      </c>
      <c r="D37" s="0">
        <f>IFERROR(INDEX(lunar_ref!$C:$C,MATCH($A37,lunar_ref!$A:$A,0)),"")</f>
        <v/>
      </c>
      <c r="E37" s="0">
        <f>_xlfn.XLOOKUP($D37,lookup!$A:$A,lookup!$B:$B)</f>
        <v/>
      </c>
      <c r="F37" s="0">
        <f>IF($E37=1,"New",IF($E37=15,"Full",""))</f>
        <v/>
      </c>
      <c r="H37" s="0">
        <f>IF($E37="","",IF(OR($E37=8,$E37=14,$E37=15,$E37=23,$E38=1,$E39=1),"Fast day",""))</f>
        <v/>
      </c>
      <c r="I37" s="0">
        <f>IFERROR(INDEX(lookup!$E:$E,MATCH($C37,lookup!$D:$D,0)),"")</f>
        <v/>
      </c>
      <c r="J37" s="0">
        <f>IF($I37="","",IF(OR($I37=1,$I37=5,$I37=9),IF($K37="","Long fast month","Long fast month (LEAP)"),""))</f>
        <v/>
      </c>
      <c r="K37" s="0">
        <f>IFERROR(IF(INDEX(lookup!$G:$G,MATCH($C37,lookup!$D:$D,0))="LEAP","LEAP MONTH - counts as month "&amp;$I37&amp;", flagged for review",""),"")</f>
        <v/>
      </c>
    </row>
    <row r="38">
      <c r="A38" s="12">
        <f>A37+1</f>
        <v/>
      </c>
      <c r="B38" s="0">
        <f>TEXT(A38,"ddd")</f>
        <v/>
      </c>
      <c r="C38" s="0">
        <f>IFERROR(INDEX(lunar_ref!$B:$B,MATCH($A38,lunar_ref!$A:$A,0)),"")</f>
        <v/>
      </c>
      <c r="D38" s="0">
        <f>IFERROR(INDEX(lunar_ref!$C:$C,MATCH($A38,lunar_ref!$A:$A,0)),"")</f>
        <v/>
      </c>
      <c r="E38" s="0">
        <f>_xlfn.XLOOKUP($D38,lookup!$A:$A,lookup!$B:$B)</f>
        <v/>
      </c>
      <c r="F38" s="0">
        <f>IF($E38=1,"New",IF($E38=15,"Full",""))</f>
        <v/>
      </c>
      <c r="H38" s="0">
        <f>IF($E38="","",IF(OR($E38=8,$E38=14,$E38=15,$E38=23,$E39=1,$E40=1),"Fast day",""))</f>
        <v/>
      </c>
      <c r="I38" s="0">
        <f>IFERROR(INDEX(lookup!$E:$E,MATCH($C38,lookup!$D:$D,0)),"")</f>
        <v/>
      </c>
      <c r="J38" s="0">
        <f>IF($I38="","",IF(OR($I38=1,$I38=5,$I38=9),IF($K38="","Long fast month","Long fast month (LEAP)"),""))</f>
        <v/>
      </c>
      <c r="K38" s="0">
        <f>IFERROR(IF(INDEX(lookup!$G:$G,MATCH($C38,lookup!$D:$D,0))="LEAP","LEAP MONTH - counts as month "&amp;$I38&amp;", flagged for review",""),"")</f>
        <v/>
      </c>
    </row>
    <row r="39">
      <c r="A39" s="12">
        <f>A38+1</f>
        <v/>
      </c>
      <c r="B39" s="0">
        <f>TEXT(A39,"ddd")</f>
        <v/>
      </c>
      <c r="C39" s="0">
        <f>IFERROR(INDEX(lunar_ref!$B:$B,MATCH($A39,lunar_ref!$A:$A,0)),"")</f>
        <v/>
      </c>
      <c r="D39" s="0">
        <f>IFERROR(INDEX(lunar_ref!$C:$C,MATCH($A39,lunar_ref!$A:$A,0)),"")</f>
        <v/>
      </c>
      <c r="E39" s="0">
        <f>_xlfn.XLOOKUP($D39,lookup!$A:$A,lookup!$B:$B)</f>
        <v/>
      </c>
      <c r="F39" s="0">
        <f>IF($E39=1,"New",IF($E39=15,"Full",""))</f>
        <v/>
      </c>
      <c r="H39" s="0">
        <f>IF($E39="","",IF(OR($E39=8,$E39=14,$E39=15,$E39=23,$E40=1,$E41=1),"Fast day",""))</f>
        <v/>
      </c>
      <c r="I39" s="0">
        <f>IFERROR(INDEX(lookup!$E:$E,MATCH($C39,lookup!$D:$D,0)),"")</f>
        <v/>
      </c>
      <c r="J39" s="0">
        <f>IF($I39="","",IF(OR($I39=1,$I39=5,$I39=9),IF($K39="","Long fast month","Long fast month (LEAP)"),""))</f>
        <v/>
      </c>
      <c r="K39" s="0">
        <f>IFERROR(IF(INDEX(lookup!$G:$G,MATCH($C39,lookup!$D:$D,0))="LEAP","LEAP MONTH - counts as month "&amp;$I39&amp;", flagged for review",""),"")</f>
        <v/>
      </c>
    </row>
    <row r="40">
      <c r="A40" s="12">
        <f>A39+1</f>
        <v/>
      </c>
      <c r="B40" s="0">
        <f>TEXT(A40,"ddd")</f>
        <v/>
      </c>
      <c r="C40" s="0">
        <f>IFERROR(INDEX(lunar_ref!$B:$B,MATCH($A40,lunar_ref!$A:$A,0)),"")</f>
        <v/>
      </c>
      <c r="D40" s="0">
        <f>IFERROR(INDEX(lunar_ref!$C:$C,MATCH($A40,lunar_ref!$A:$A,0)),"")</f>
        <v/>
      </c>
      <c r="E40" s="0">
        <f>_xlfn.XLOOKUP($D40,lookup!$A:$A,lookup!$B:$B)</f>
        <v/>
      </c>
      <c r="F40" s="0">
        <f>IF($E40=1,"New",IF($E40=15,"Full",""))</f>
        <v/>
      </c>
      <c r="H40" s="0">
        <f>IF($E40="","",IF(OR($E40=8,$E40=14,$E40=15,$E40=23,$E41=1,$E42=1),"Fast day",""))</f>
        <v/>
      </c>
      <c r="I40" s="0">
        <f>IFERROR(INDEX(lookup!$E:$E,MATCH($C40,lookup!$D:$D,0)),"")</f>
        <v/>
      </c>
      <c r="J40" s="0">
        <f>IF($I40="","",IF(OR($I40=1,$I40=5,$I40=9),IF($K40="","Long fast month","Long fast month (LEAP)"),""))</f>
        <v/>
      </c>
      <c r="K40" s="0">
        <f>IFERROR(IF(INDEX(lookup!$G:$G,MATCH($C40,lookup!$D:$D,0))="LEAP","LEAP MONTH - counts as month "&amp;$I40&amp;", flagged for review",""),"")</f>
        <v/>
      </c>
    </row>
    <row r="41">
      <c r="A41" s="12">
        <f>A40+1</f>
        <v/>
      </c>
      <c r="B41" s="0">
        <f>TEXT(A41,"ddd")</f>
        <v/>
      </c>
      <c r="C41" s="0">
        <f>IFERROR(INDEX(lunar_ref!$B:$B,MATCH($A41,lunar_ref!$A:$A,0)),"")</f>
        <v/>
      </c>
      <c r="D41" s="0">
        <f>IFERROR(INDEX(lunar_ref!$C:$C,MATCH($A41,lunar_ref!$A:$A,0)),"")</f>
        <v/>
      </c>
      <c r="E41" s="0">
        <f>_xlfn.XLOOKUP($D41,lookup!$A:$A,lookup!$B:$B)</f>
        <v/>
      </c>
      <c r="F41" s="0">
        <f>IF($E41=1,"New",IF($E41=15,"Full",""))</f>
        <v/>
      </c>
      <c r="H41" s="0">
        <f>IF($E41="","",IF(OR($E41=8,$E41=14,$E41=15,$E41=23,$E42=1,$E43=1),"Fast day",""))</f>
        <v/>
      </c>
      <c r="I41" s="0">
        <f>IFERROR(INDEX(lookup!$E:$E,MATCH($C41,lookup!$D:$D,0)),"")</f>
        <v/>
      </c>
      <c r="J41" s="0">
        <f>IF($I41="","",IF(OR($I41=1,$I41=5,$I41=9),IF($K41="","Long fast month","Long fast month (LEAP)"),""))</f>
        <v/>
      </c>
      <c r="K41" s="0">
        <f>IFERROR(IF(INDEX(lookup!$G:$G,MATCH($C41,lookup!$D:$D,0))="LEAP","LEAP MONTH - counts as month "&amp;$I41&amp;", flagged for review",""),"")</f>
        <v/>
      </c>
    </row>
    <row r="42">
      <c r="A42" s="12">
        <f>A41+1</f>
        <v/>
      </c>
      <c r="B42" s="0">
        <f>TEXT(A42,"ddd")</f>
        <v/>
      </c>
      <c r="C42" s="0">
        <f>IFERROR(INDEX(lunar_ref!$B:$B,MATCH($A42,lunar_ref!$A:$A,0)),"")</f>
        <v/>
      </c>
      <c r="D42" s="0">
        <f>IFERROR(INDEX(lunar_ref!$C:$C,MATCH($A42,lunar_ref!$A:$A,0)),"")</f>
        <v/>
      </c>
      <c r="E42" s="0">
        <f>_xlfn.XLOOKUP($D42,lookup!$A:$A,lookup!$B:$B)</f>
        <v/>
      </c>
      <c r="F42" s="0">
        <f>IF($E42=1,"New",IF($E42=15,"Full",""))</f>
        <v/>
      </c>
      <c r="H42" s="0">
        <f>IF($E42="","",IF(OR($E42=8,$E42=14,$E42=15,$E42=23,$E43=1,$E44=1),"Fast day",""))</f>
        <v/>
      </c>
      <c r="I42" s="0">
        <f>IFERROR(INDEX(lookup!$E:$E,MATCH($C42,lookup!$D:$D,0)),"")</f>
        <v/>
      </c>
      <c r="J42" s="0">
        <f>IF($I42="","",IF(OR($I42=1,$I42=5,$I42=9),IF($K42="","Long fast month","Long fast month (LEAP)"),""))</f>
        <v/>
      </c>
      <c r="K42" s="0">
        <f>IFERROR(IF(INDEX(lookup!$G:$G,MATCH($C42,lookup!$D:$D,0))="LEAP","LEAP MONTH - counts as month "&amp;$I42&amp;", flagged for review",""),"")</f>
        <v/>
      </c>
    </row>
    <row r="43">
      <c r="A43" s="12">
        <f>A42+1</f>
        <v/>
      </c>
      <c r="B43" s="0">
        <f>TEXT(A43,"ddd")</f>
        <v/>
      </c>
      <c r="C43" s="0">
        <f>IFERROR(INDEX(lunar_ref!$B:$B,MATCH($A43,lunar_ref!$A:$A,0)),"")</f>
        <v/>
      </c>
      <c r="D43" s="0">
        <f>IFERROR(INDEX(lunar_ref!$C:$C,MATCH($A43,lunar_ref!$A:$A,0)),"")</f>
        <v/>
      </c>
      <c r="E43" s="0">
        <f>_xlfn.XLOOKUP($D43,lookup!$A:$A,lookup!$B:$B)</f>
        <v/>
      </c>
      <c r="F43" s="0">
        <f>IF($E43=1,"New",IF($E43=15,"Full",""))</f>
        <v/>
      </c>
      <c r="H43" s="0">
        <f>IF($E43="","",IF(OR($E43=8,$E43=14,$E43=15,$E43=23,$E44=1,$E45=1),"Fast day",""))</f>
        <v/>
      </c>
      <c r="I43" s="0">
        <f>IFERROR(INDEX(lookup!$E:$E,MATCH($C43,lookup!$D:$D,0)),"")</f>
        <v/>
      </c>
      <c r="J43" s="0">
        <f>IF($I43="","",IF(OR($I43=1,$I43=5,$I43=9),IF($K43="","Long fast month","Long fast month (LEAP)"),""))</f>
        <v/>
      </c>
      <c r="K43" s="0">
        <f>IFERROR(IF(INDEX(lookup!$G:$G,MATCH($C43,lookup!$D:$D,0))="LEAP","LEAP MONTH - counts as month "&amp;$I43&amp;", flagged for review",""),"")</f>
        <v/>
      </c>
    </row>
    <row r="44">
      <c r="A44" s="12">
        <f>A43+1</f>
        <v/>
      </c>
      <c r="B44" s="0">
        <f>TEXT(A44,"ddd")</f>
        <v/>
      </c>
      <c r="C44" s="0">
        <f>IFERROR(INDEX(lunar_ref!$B:$B,MATCH($A44,lunar_ref!$A:$A,0)),"")</f>
        <v/>
      </c>
      <c r="D44" s="0">
        <f>IFERROR(INDEX(lunar_ref!$C:$C,MATCH($A44,lunar_ref!$A:$A,0)),"")</f>
        <v/>
      </c>
      <c r="E44" s="0">
        <f>_xlfn.XLOOKUP($D44,lookup!$A:$A,lookup!$B:$B)</f>
        <v/>
      </c>
      <c r="F44" s="0">
        <f>IF($E44=1,"New",IF($E44=15,"Full",""))</f>
        <v/>
      </c>
      <c r="H44" s="0">
        <f>IF($E44="","",IF(OR($E44=8,$E44=14,$E44=15,$E44=23,$E45=1,$E46=1),"Fast day",""))</f>
        <v/>
      </c>
      <c r="I44" s="0">
        <f>IFERROR(INDEX(lookup!$E:$E,MATCH($C44,lookup!$D:$D,0)),"")</f>
        <v/>
      </c>
      <c r="J44" s="0">
        <f>IF($I44="","",IF(OR($I44=1,$I44=5,$I44=9),IF($K44="","Long fast month","Long fast month (LEAP)"),""))</f>
        <v/>
      </c>
      <c r="K44" s="0">
        <f>IFERROR(IF(INDEX(lookup!$G:$G,MATCH($C44,lookup!$D:$D,0))="LEAP","LEAP MONTH - counts as month "&amp;$I44&amp;", flagged for review",""),"")</f>
        <v/>
      </c>
    </row>
    <row r="45">
      <c r="A45" s="12">
        <f>A44+1</f>
        <v/>
      </c>
      <c r="B45" s="0">
        <f>TEXT(A45,"ddd")</f>
        <v/>
      </c>
      <c r="C45" s="0">
        <f>IFERROR(INDEX(lunar_ref!$B:$B,MATCH($A45,lunar_ref!$A:$A,0)),"")</f>
        <v/>
      </c>
      <c r="D45" s="0">
        <f>IFERROR(INDEX(lunar_ref!$C:$C,MATCH($A45,lunar_ref!$A:$A,0)),"")</f>
        <v/>
      </c>
      <c r="E45" s="0">
        <f>_xlfn.XLOOKUP($D45,lookup!$A:$A,lookup!$B:$B)</f>
        <v/>
      </c>
      <c r="F45" s="0">
        <f>IF($E45=1,"New",IF($E45=15,"Full",""))</f>
        <v/>
      </c>
      <c r="H45" s="0">
        <f>IF($E45="","",IF(OR($E45=8,$E45=14,$E45=15,$E45=23,$E46=1,$E47=1),"Fast day",""))</f>
        <v/>
      </c>
      <c r="I45" s="0">
        <f>IFERROR(INDEX(lookup!$E:$E,MATCH($C45,lookup!$D:$D,0)),"")</f>
        <v/>
      </c>
      <c r="J45" s="0">
        <f>IF($I45="","",IF(OR($I45=1,$I45=5,$I45=9),IF($K45="","Long fast month","Long fast month (LEAP)"),""))</f>
        <v/>
      </c>
      <c r="K45" s="0">
        <f>IFERROR(IF(INDEX(lookup!$G:$G,MATCH($C45,lookup!$D:$D,0))="LEAP","LEAP MONTH - counts as month "&amp;$I45&amp;", flagged for review",""),"")</f>
        <v/>
      </c>
    </row>
    <row r="46">
      <c r="A46" s="12">
        <f>A45+1</f>
        <v/>
      </c>
      <c r="B46" s="0">
        <f>TEXT(A46,"ddd")</f>
        <v/>
      </c>
      <c r="C46" s="0">
        <f>IFERROR(INDEX(lunar_ref!$B:$B,MATCH($A46,lunar_ref!$A:$A,0)),"")</f>
        <v/>
      </c>
      <c r="D46" s="0">
        <f>IFERROR(INDEX(lunar_ref!$C:$C,MATCH($A46,lunar_ref!$A:$A,0)),"")</f>
        <v/>
      </c>
      <c r="E46" s="0">
        <f>_xlfn.XLOOKUP($D46,lookup!$A:$A,lookup!$B:$B)</f>
        <v/>
      </c>
      <c r="F46" s="0">
        <f>IF($E46=1,"New",IF($E46=15,"Full",""))</f>
        <v/>
      </c>
      <c r="H46" s="0">
        <f>IF($E46="","",IF(OR($E46=8,$E46=14,$E46=15,$E46=23,$E47=1,$E48=1),"Fast day",""))</f>
        <v/>
      </c>
      <c r="I46" s="0">
        <f>IFERROR(INDEX(lookup!$E:$E,MATCH($C46,lookup!$D:$D,0)),"")</f>
        <v/>
      </c>
      <c r="J46" s="0">
        <f>IF($I46="","",IF(OR($I46=1,$I46=5,$I46=9),IF($K46="","Long fast month","Long fast month (LEAP)"),""))</f>
        <v/>
      </c>
      <c r="K46" s="0">
        <f>IFERROR(IF(INDEX(lookup!$G:$G,MATCH($C46,lookup!$D:$D,0))="LEAP","LEAP MONTH - counts as month "&amp;$I46&amp;", flagged for review",""),"")</f>
        <v/>
      </c>
    </row>
    <row r="47">
      <c r="A47" s="12">
        <f>A46+1</f>
        <v/>
      </c>
      <c r="B47" s="0">
        <f>TEXT(A47,"ddd")</f>
        <v/>
      </c>
      <c r="C47" s="0">
        <f>IFERROR(INDEX(lunar_ref!$B:$B,MATCH($A47,lunar_ref!$A:$A,0)),"")</f>
        <v/>
      </c>
      <c r="D47" s="0">
        <f>IFERROR(INDEX(lunar_ref!$C:$C,MATCH($A47,lunar_ref!$A:$A,0)),"")</f>
        <v/>
      </c>
      <c r="E47" s="0">
        <f>_xlfn.XLOOKUP($D47,lookup!$A:$A,lookup!$B:$B)</f>
        <v/>
      </c>
      <c r="F47" s="0">
        <f>IF($E47=1,"New",IF($E47=15,"Full",""))</f>
        <v/>
      </c>
      <c r="H47" s="0">
        <f>IF($E47="","",IF(OR($E47=8,$E47=14,$E47=15,$E47=23,$E48=1,$E49=1),"Fast day",""))</f>
        <v/>
      </c>
      <c r="I47" s="0">
        <f>IFERROR(INDEX(lookup!$E:$E,MATCH($C47,lookup!$D:$D,0)),"")</f>
        <v/>
      </c>
      <c r="J47" s="0">
        <f>IF($I47="","",IF(OR($I47=1,$I47=5,$I47=9),IF($K47="","Long fast month","Long fast month (LEAP)"),""))</f>
        <v/>
      </c>
      <c r="K47" s="0">
        <f>IFERROR(IF(INDEX(lookup!$G:$G,MATCH($C47,lookup!$D:$D,0))="LEAP","LEAP MONTH - counts as month "&amp;$I47&amp;", flagged for review",""),"")</f>
        <v/>
      </c>
    </row>
    <row r="48">
      <c r="A48" s="12">
        <f>A47+1</f>
        <v/>
      </c>
      <c r="B48" s="0">
        <f>TEXT(A48,"ddd")</f>
        <v/>
      </c>
      <c r="C48" s="0">
        <f>IFERROR(INDEX(lunar_ref!$B:$B,MATCH($A48,lunar_ref!$A:$A,0)),"")</f>
        <v/>
      </c>
      <c r="D48" s="0">
        <f>IFERROR(INDEX(lunar_ref!$C:$C,MATCH($A48,lunar_ref!$A:$A,0)),"")</f>
        <v/>
      </c>
      <c r="E48" s="0">
        <f>_xlfn.XLOOKUP($D48,lookup!$A:$A,lookup!$B:$B)</f>
        <v/>
      </c>
      <c r="F48" s="0">
        <f>IF($E48=1,"New",IF($E48=15,"Full",""))</f>
        <v/>
      </c>
      <c r="H48" s="0">
        <f>IF($E48="","",IF(OR($E48=8,$E48=14,$E48=15,$E48=23,$E49=1,$E50=1),"Fast day",""))</f>
        <v/>
      </c>
      <c r="I48" s="0">
        <f>IFERROR(INDEX(lookup!$E:$E,MATCH($C48,lookup!$D:$D,0)),"")</f>
        <v/>
      </c>
      <c r="J48" s="0">
        <f>IF($I48="","",IF(OR($I48=1,$I48=5,$I48=9),IF($K48="","Long fast month","Long fast month (LEAP)"),""))</f>
        <v/>
      </c>
      <c r="K48" s="0">
        <f>IFERROR(IF(INDEX(lookup!$G:$G,MATCH($C48,lookup!$D:$D,0))="LEAP","LEAP MONTH - counts as month "&amp;$I48&amp;", flagged for review",""),"")</f>
        <v/>
      </c>
    </row>
    <row r="49">
      <c r="A49" s="12">
        <f>A48+1</f>
        <v/>
      </c>
      <c r="B49" s="0">
        <f>TEXT(A49,"ddd")</f>
        <v/>
      </c>
      <c r="C49" s="0">
        <f>IFERROR(INDEX(lunar_ref!$B:$B,MATCH($A49,lunar_ref!$A:$A,0)),"")</f>
        <v/>
      </c>
      <c r="D49" s="0">
        <f>IFERROR(INDEX(lunar_ref!$C:$C,MATCH($A49,lunar_ref!$A:$A,0)),"")</f>
        <v/>
      </c>
      <c r="E49" s="0">
        <f>_xlfn.XLOOKUP($D49,lookup!$A:$A,lookup!$B:$B)</f>
        <v/>
      </c>
      <c r="F49" s="0">
        <f>IF($E49=1,"New",IF($E49=15,"Full",""))</f>
        <v/>
      </c>
      <c r="H49" s="0">
        <f>IF($E49="","",IF(OR($E49=8,$E49=14,$E49=15,$E49=23,$E50=1,$E51=1),"Fast day",""))</f>
        <v/>
      </c>
      <c r="I49" s="0">
        <f>IFERROR(INDEX(lookup!$E:$E,MATCH($C49,lookup!$D:$D,0)),"")</f>
        <v/>
      </c>
      <c r="J49" s="0">
        <f>IF($I49="","",IF(OR($I49=1,$I49=5,$I49=9),IF($K49="","Long fast month","Long fast month (LEAP)"),""))</f>
        <v/>
      </c>
      <c r="K49" s="0">
        <f>IFERROR(IF(INDEX(lookup!$G:$G,MATCH($C49,lookup!$D:$D,0))="LEAP","LEAP MONTH - counts as month "&amp;$I49&amp;", flagged for review",""),"")</f>
        <v/>
      </c>
    </row>
    <row r="50">
      <c r="A50" s="12">
        <f>A49+1</f>
        <v/>
      </c>
      <c r="B50" s="0">
        <f>TEXT(A50,"ddd")</f>
        <v/>
      </c>
      <c r="C50" s="0">
        <f>IFERROR(INDEX(lunar_ref!$B:$B,MATCH($A50,lunar_ref!$A:$A,0)),"")</f>
        <v/>
      </c>
      <c r="D50" s="0">
        <f>IFERROR(INDEX(lunar_ref!$C:$C,MATCH($A50,lunar_ref!$A:$A,0)),"")</f>
        <v/>
      </c>
      <c r="E50" s="0">
        <f>_xlfn.XLOOKUP($D50,lookup!$A:$A,lookup!$B:$B)</f>
        <v/>
      </c>
      <c r="F50" s="0">
        <f>IF($E50=1,"New",IF($E50=15,"Full",""))</f>
        <v/>
      </c>
      <c r="H50" s="0">
        <f>IF($E50="","",IF(OR($E50=8,$E50=14,$E50=15,$E50=23,$E51=1,$E52=1),"Fast day",""))</f>
        <v/>
      </c>
      <c r="I50" s="0">
        <f>IFERROR(INDEX(lookup!$E:$E,MATCH($C50,lookup!$D:$D,0)),"")</f>
        <v/>
      </c>
      <c r="J50" s="0">
        <f>IF($I50="","",IF(OR($I50=1,$I50=5,$I50=9),IF($K50="","Long fast month","Long fast month (LEAP)"),""))</f>
        <v/>
      </c>
      <c r="K50" s="0">
        <f>IFERROR(IF(INDEX(lookup!$G:$G,MATCH($C50,lookup!$D:$D,0))="LEAP","LEAP MONTH - counts as month "&amp;$I50&amp;", flagged for review",""),"")</f>
        <v/>
      </c>
    </row>
    <row r="51">
      <c r="A51" s="12">
        <f>A50+1</f>
        <v/>
      </c>
      <c r="B51" s="0">
        <f>TEXT(A51,"ddd")</f>
        <v/>
      </c>
      <c r="C51" s="0">
        <f>IFERROR(INDEX(lunar_ref!$B:$B,MATCH($A51,lunar_ref!$A:$A,0)),"")</f>
        <v/>
      </c>
      <c r="D51" s="0">
        <f>IFERROR(INDEX(lunar_ref!$C:$C,MATCH($A51,lunar_ref!$A:$A,0)),"")</f>
        <v/>
      </c>
      <c r="E51" s="0">
        <f>_xlfn.XLOOKUP($D51,lookup!$A:$A,lookup!$B:$B)</f>
        <v/>
      </c>
      <c r="F51" s="0">
        <f>IF($E51=1,"New",IF($E51=15,"Full",""))</f>
        <v/>
      </c>
      <c r="H51" s="0">
        <f>IF($E51="","",IF(OR($E51=8,$E51=14,$E51=15,$E51=23,$E52=1,$E53=1),"Fast day",""))</f>
        <v/>
      </c>
      <c r="I51" s="0">
        <f>IFERROR(INDEX(lookup!$E:$E,MATCH($C51,lookup!$D:$D,0)),"")</f>
        <v/>
      </c>
      <c r="J51" s="0">
        <f>IF($I51="","",IF(OR($I51=1,$I51=5,$I51=9),IF($K51="","Long fast month","Long fast month (LEAP)"),""))</f>
        <v/>
      </c>
      <c r="K51" s="0">
        <f>IFERROR(IF(INDEX(lookup!$G:$G,MATCH($C51,lookup!$D:$D,0))="LEAP","LEAP MONTH - counts as month "&amp;$I51&amp;", flagged for review",""),"")</f>
        <v/>
      </c>
    </row>
    <row r="52">
      <c r="A52" s="12">
        <f>A51+1</f>
        <v/>
      </c>
      <c r="B52" s="0">
        <f>TEXT(A52,"ddd")</f>
        <v/>
      </c>
      <c r="C52" s="0">
        <f>IFERROR(INDEX(lunar_ref!$B:$B,MATCH($A52,lunar_ref!$A:$A,0)),"")</f>
        <v/>
      </c>
      <c r="D52" s="0">
        <f>IFERROR(INDEX(lunar_ref!$C:$C,MATCH($A52,lunar_ref!$A:$A,0)),"")</f>
        <v/>
      </c>
      <c r="E52" s="0">
        <f>_xlfn.XLOOKUP($D52,lookup!$A:$A,lookup!$B:$B)</f>
        <v/>
      </c>
      <c r="F52" s="0">
        <f>IF($E52=1,"New",IF($E52=15,"Full",""))</f>
        <v/>
      </c>
      <c r="H52" s="0">
        <f>IF($E52="","",IF(OR($E52=8,$E52=14,$E52=15,$E52=23,$E53=1,$E54=1),"Fast day",""))</f>
        <v/>
      </c>
      <c r="I52" s="0">
        <f>IFERROR(INDEX(lookup!$E:$E,MATCH($C52,lookup!$D:$D,0)),"")</f>
        <v/>
      </c>
      <c r="J52" s="0">
        <f>IF($I52="","",IF(OR($I52=1,$I52=5,$I52=9),IF($K52="","Long fast month","Long fast month (LEAP)"),""))</f>
        <v/>
      </c>
      <c r="K52" s="0">
        <f>IFERROR(IF(INDEX(lookup!$G:$G,MATCH($C52,lookup!$D:$D,0))="LEAP","LEAP MONTH - counts as month "&amp;$I52&amp;", flagged for review",""),"")</f>
        <v/>
      </c>
    </row>
    <row r="53">
      <c r="A53" s="12">
        <f>A52+1</f>
        <v/>
      </c>
      <c r="B53" s="0">
        <f>TEXT(A53,"ddd")</f>
        <v/>
      </c>
      <c r="C53" s="0">
        <f>IFERROR(INDEX(lunar_ref!$B:$B,MATCH($A53,lunar_ref!$A:$A,0)),"")</f>
        <v/>
      </c>
      <c r="D53" s="0">
        <f>IFERROR(INDEX(lunar_ref!$C:$C,MATCH($A53,lunar_ref!$A:$A,0)),"")</f>
        <v/>
      </c>
      <c r="E53" s="0">
        <f>_xlfn.XLOOKUP($D53,lookup!$A:$A,lookup!$B:$B)</f>
        <v/>
      </c>
      <c r="F53" s="0">
        <f>IF($E53=1,"New",IF($E53=15,"Full",""))</f>
        <v/>
      </c>
      <c r="H53" s="0">
        <f>IF($E53="","",IF(OR($E53=8,$E53=14,$E53=15,$E53=23,$E54=1,$E55=1),"Fast day",""))</f>
        <v/>
      </c>
      <c r="I53" s="0">
        <f>IFERROR(INDEX(lookup!$E:$E,MATCH($C53,lookup!$D:$D,0)),"")</f>
        <v/>
      </c>
      <c r="J53" s="0">
        <f>IF($I53="","",IF(OR($I53=1,$I53=5,$I53=9),IF($K53="","Long fast month","Long fast month (LEAP)"),""))</f>
        <v/>
      </c>
      <c r="K53" s="0">
        <f>IFERROR(IF(INDEX(lookup!$G:$G,MATCH($C53,lookup!$D:$D,0))="LEAP","LEAP MONTH - counts as month "&amp;$I53&amp;", flagged for review",""),"")</f>
        <v/>
      </c>
    </row>
    <row r="54">
      <c r="A54" s="12">
        <f>A53+1</f>
        <v/>
      </c>
      <c r="B54" s="0">
        <f>TEXT(A54,"ddd")</f>
        <v/>
      </c>
      <c r="C54" s="0">
        <f>IFERROR(INDEX(lunar_ref!$B:$B,MATCH($A54,lunar_ref!$A:$A,0)),"")</f>
        <v/>
      </c>
      <c r="D54" s="0">
        <f>IFERROR(INDEX(lunar_ref!$C:$C,MATCH($A54,lunar_ref!$A:$A,0)),"")</f>
        <v/>
      </c>
      <c r="E54" s="0">
        <f>_xlfn.XLOOKUP($D54,lookup!$A:$A,lookup!$B:$B)</f>
        <v/>
      </c>
      <c r="F54" s="0">
        <f>IF($E54=1,"New",IF($E54=15,"Full",""))</f>
        <v/>
      </c>
      <c r="H54" s="0">
        <f>IF($E54="","",IF(OR($E54=8,$E54=14,$E54=15,$E54=23,$E55=1,$E56=1),"Fast day",""))</f>
        <v/>
      </c>
      <c r="I54" s="0">
        <f>IFERROR(INDEX(lookup!$E:$E,MATCH($C54,lookup!$D:$D,0)),"")</f>
        <v/>
      </c>
      <c r="J54" s="0">
        <f>IF($I54="","",IF(OR($I54=1,$I54=5,$I54=9),IF($K54="","Long fast month","Long fast month (LEAP)"),""))</f>
        <v/>
      </c>
      <c r="K54" s="0">
        <f>IFERROR(IF(INDEX(lookup!$G:$G,MATCH($C54,lookup!$D:$D,0))="LEAP","LEAP MONTH - counts as month "&amp;$I54&amp;", flagged for review",""),"")</f>
        <v/>
      </c>
    </row>
    <row r="55">
      <c r="A55" s="12">
        <f>A54+1</f>
        <v/>
      </c>
      <c r="B55" s="0">
        <f>TEXT(A55,"ddd")</f>
        <v/>
      </c>
      <c r="C55" s="0">
        <f>IFERROR(INDEX(lunar_ref!$B:$B,MATCH($A55,lunar_ref!$A:$A,0)),"")</f>
        <v/>
      </c>
      <c r="D55" s="0">
        <f>IFERROR(INDEX(lunar_ref!$C:$C,MATCH($A55,lunar_ref!$A:$A,0)),"")</f>
        <v/>
      </c>
      <c r="E55" s="0">
        <f>_xlfn.XLOOKUP($D55,lookup!$A:$A,lookup!$B:$B)</f>
        <v/>
      </c>
      <c r="F55" s="0">
        <f>IF($E55=1,"New",IF($E55=15,"Full",""))</f>
        <v/>
      </c>
      <c r="H55" s="0">
        <f>IF($E55="","",IF(OR($E55=8,$E55=14,$E55=15,$E55=23,$E56=1,$E57=1),"Fast day",""))</f>
        <v/>
      </c>
      <c r="I55" s="0">
        <f>IFERROR(INDEX(lookup!$E:$E,MATCH($C55,lookup!$D:$D,0)),"")</f>
        <v/>
      </c>
      <c r="J55" s="0">
        <f>IF($I55="","",IF(OR($I55=1,$I55=5,$I55=9),IF($K55="","Long fast month","Long fast month (LEAP)"),""))</f>
        <v/>
      </c>
      <c r="K55" s="0">
        <f>IFERROR(IF(INDEX(lookup!$G:$G,MATCH($C55,lookup!$D:$D,0))="LEAP","LEAP MONTH - counts as month "&amp;$I55&amp;", flagged for review",""),"")</f>
        <v/>
      </c>
    </row>
    <row r="56">
      <c r="A56" s="12">
        <f>A55+1</f>
        <v/>
      </c>
      <c r="B56" s="0">
        <f>TEXT(A56,"ddd")</f>
        <v/>
      </c>
      <c r="C56" s="0">
        <f>IFERROR(INDEX(lunar_ref!$B:$B,MATCH($A56,lunar_ref!$A:$A,0)),"")</f>
        <v/>
      </c>
      <c r="D56" s="0">
        <f>IFERROR(INDEX(lunar_ref!$C:$C,MATCH($A56,lunar_ref!$A:$A,0)),"")</f>
        <v/>
      </c>
      <c r="E56" s="0">
        <f>_xlfn.XLOOKUP($D56,lookup!$A:$A,lookup!$B:$B)</f>
        <v/>
      </c>
      <c r="F56" s="0">
        <f>IF($E56=1,"New",IF($E56=15,"Full",""))</f>
        <v/>
      </c>
      <c r="H56" s="0">
        <f>IF($E56="","",IF(OR($E56=8,$E56=14,$E56=15,$E56=23,$E57=1,$E58=1),"Fast day",""))</f>
        <v/>
      </c>
      <c r="I56" s="0">
        <f>IFERROR(INDEX(lookup!$E:$E,MATCH($C56,lookup!$D:$D,0)),"")</f>
        <v/>
      </c>
      <c r="J56" s="0">
        <f>IF($I56="","",IF(OR($I56=1,$I56=5,$I56=9),IF($K56="","Long fast month","Long fast month (LEAP)"),""))</f>
        <v/>
      </c>
      <c r="K56" s="0">
        <f>IFERROR(IF(INDEX(lookup!$G:$G,MATCH($C56,lookup!$D:$D,0))="LEAP","LEAP MONTH - counts as month "&amp;$I56&amp;", flagged for review",""),"")</f>
        <v/>
      </c>
    </row>
    <row r="57">
      <c r="A57" s="12">
        <f>A56+1</f>
        <v/>
      </c>
      <c r="B57" s="0">
        <f>TEXT(A57,"ddd")</f>
        <v/>
      </c>
      <c r="C57" s="0">
        <f>IFERROR(INDEX(lunar_ref!$B:$B,MATCH($A57,lunar_ref!$A:$A,0)),"")</f>
        <v/>
      </c>
      <c r="D57" s="0">
        <f>IFERROR(INDEX(lunar_ref!$C:$C,MATCH($A57,lunar_ref!$A:$A,0)),"")</f>
        <v/>
      </c>
      <c r="E57" s="0">
        <f>_xlfn.XLOOKUP($D57,lookup!$A:$A,lookup!$B:$B)</f>
        <v/>
      </c>
      <c r="F57" s="0">
        <f>IF($E57=1,"New",IF($E57=15,"Full",""))</f>
        <v/>
      </c>
      <c r="H57" s="0">
        <f>IF($E57="","",IF(OR($E57=8,$E57=14,$E57=15,$E57=23,$E58=1,$E59=1),"Fast day",""))</f>
        <v/>
      </c>
      <c r="I57" s="0">
        <f>IFERROR(INDEX(lookup!$E:$E,MATCH($C57,lookup!$D:$D,0)),"")</f>
        <v/>
      </c>
      <c r="J57" s="0">
        <f>IF($I57="","",IF(OR($I57=1,$I57=5,$I57=9),IF($K57="","Long fast month","Long fast month (LEAP)"),""))</f>
        <v/>
      </c>
      <c r="K57" s="0">
        <f>IFERROR(IF(INDEX(lookup!$G:$G,MATCH($C57,lookup!$D:$D,0))="LEAP","LEAP MONTH - counts as month "&amp;$I57&amp;", flagged for review",""),"")</f>
        <v/>
      </c>
    </row>
    <row r="58">
      <c r="A58" s="12">
        <f>A57+1</f>
        <v/>
      </c>
      <c r="B58" s="0">
        <f>TEXT(A58,"ddd")</f>
        <v/>
      </c>
      <c r="C58" s="0">
        <f>IFERROR(INDEX(lunar_ref!$B:$B,MATCH($A58,lunar_ref!$A:$A,0)),"")</f>
        <v/>
      </c>
      <c r="D58" s="0">
        <f>IFERROR(INDEX(lunar_ref!$C:$C,MATCH($A58,lunar_ref!$A:$A,0)),"")</f>
        <v/>
      </c>
      <c r="E58" s="0">
        <f>_xlfn.XLOOKUP($D58,lookup!$A:$A,lookup!$B:$B)</f>
        <v/>
      </c>
      <c r="F58" s="0">
        <f>IF($E58=1,"New",IF($E58=15,"Full",""))</f>
        <v/>
      </c>
      <c r="H58" s="0">
        <f>IF($E58="","",IF(OR($E58=8,$E58=14,$E58=15,$E58=23,$E59=1,$E60=1),"Fast day",""))</f>
        <v/>
      </c>
      <c r="I58" s="0">
        <f>IFERROR(INDEX(lookup!$E:$E,MATCH($C58,lookup!$D:$D,0)),"")</f>
        <v/>
      </c>
      <c r="J58" s="0">
        <f>IF($I58="","",IF(OR($I58=1,$I58=5,$I58=9),IF($K58="","Long fast month","Long fast month (LEAP)"),""))</f>
        <v/>
      </c>
      <c r="K58" s="0">
        <f>IFERROR(IF(INDEX(lookup!$G:$G,MATCH($C58,lookup!$D:$D,0))="LEAP","LEAP MONTH - counts as month "&amp;$I58&amp;", flagged for review",""),"")</f>
        <v/>
      </c>
    </row>
    <row r="59">
      <c r="A59" s="12">
        <f>A58+1</f>
        <v/>
      </c>
      <c r="B59" s="0">
        <f>TEXT(A59,"ddd")</f>
        <v/>
      </c>
      <c r="C59" s="0">
        <f>IFERROR(INDEX(lunar_ref!$B:$B,MATCH($A59,lunar_ref!$A:$A,0)),"")</f>
        <v/>
      </c>
      <c r="D59" s="0">
        <f>IFERROR(INDEX(lunar_ref!$C:$C,MATCH($A59,lunar_ref!$A:$A,0)),"")</f>
        <v/>
      </c>
      <c r="E59" s="0">
        <f>_xlfn.XLOOKUP($D59,lookup!$A:$A,lookup!$B:$B)</f>
        <v/>
      </c>
      <c r="F59" s="0">
        <f>IF($E59=1,"New",IF($E59=15,"Full",""))</f>
        <v/>
      </c>
      <c r="H59" s="0">
        <f>IF($E59="","",IF(OR($E59=8,$E59=14,$E59=15,$E59=23,$E60=1,$E61=1),"Fast day",""))</f>
        <v/>
      </c>
      <c r="I59" s="0">
        <f>IFERROR(INDEX(lookup!$E:$E,MATCH($C59,lookup!$D:$D,0)),"")</f>
        <v/>
      </c>
      <c r="J59" s="0">
        <f>IF($I59="","",IF(OR($I59=1,$I59=5,$I59=9),IF($K59="","Long fast month","Long fast month (LEAP)"),""))</f>
        <v/>
      </c>
      <c r="K59" s="0">
        <f>IFERROR(IF(INDEX(lookup!$G:$G,MATCH($C59,lookup!$D:$D,0))="LEAP","LEAP MONTH - counts as month "&amp;$I59&amp;", flagged for review",""),"")</f>
        <v/>
      </c>
    </row>
    <row r="60">
      <c r="A60" s="12">
        <f>A59+1</f>
        <v/>
      </c>
      <c r="B60" s="0">
        <f>TEXT(A60,"ddd")</f>
        <v/>
      </c>
      <c r="C60" s="0">
        <f>IFERROR(INDEX(lunar_ref!$B:$B,MATCH($A60,lunar_ref!$A:$A,0)),"")</f>
        <v/>
      </c>
      <c r="D60" s="0">
        <f>IFERROR(INDEX(lunar_ref!$C:$C,MATCH($A60,lunar_ref!$A:$A,0)),"")</f>
        <v/>
      </c>
      <c r="E60" s="0">
        <f>_xlfn.XLOOKUP($D60,lookup!$A:$A,lookup!$B:$B)</f>
        <v/>
      </c>
      <c r="F60" s="0">
        <f>IF($E60=1,"New",IF($E60=15,"Full",""))</f>
        <v/>
      </c>
      <c r="H60" s="0">
        <f>IF($E60="","",IF(OR($E60=8,$E60=14,$E60=15,$E60=23,$E61=1,$E62=1),"Fast day",""))</f>
        <v/>
      </c>
      <c r="I60" s="0">
        <f>IFERROR(INDEX(lookup!$E:$E,MATCH($C60,lookup!$D:$D,0)),"")</f>
        <v/>
      </c>
      <c r="J60" s="0">
        <f>IF($I60="","",IF(OR($I60=1,$I60=5,$I60=9),IF($K60="","Long fast month","Long fast month (LEAP)"),""))</f>
        <v/>
      </c>
      <c r="K60" s="0">
        <f>IFERROR(IF(INDEX(lookup!$G:$G,MATCH($C60,lookup!$D:$D,0))="LEAP","LEAP MONTH - counts as month "&amp;$I60&amp;", flagged for review",""),"")</f>
        <v/>
      </c>
    </row>
    <row r="61">
      <c r="A61" s="12">
        <f>A60+1</f>
        <v/>
      </c>
      <c r="B61" s="0">
        <f>TEXT(A61,"ddd")</f>
        <v/>
      </c>
      <c r="C61" s="0">
        <f>IFERROR(INDEX(lunar_ref!$B:$B,MATCH($A61,lunar_ref!$A:$A,0)),"")</f>
        <v/>
      </c>
      <c r="D61" s="0">
        <f>IFERROR(INDEX(lunar_ref!$C:$C,MATCH($A61,lunar_ref!$A:$A,0)),"")</f>
        <v/>
      </c>
      <c r="E61" s="0">
        <f>_xlfn.XLOOKUP($D61,lookup!$A:$A,lookup!$B:$B)</f>
        <v/>
      </c>
      <c r="F61" s="0">
        <f>IF($E61=1,"New",IF($E61=15,"Full",""))</f>
        <v/>
      </c>
      <c r="H61" s="0">
        <f>IF($E61="","",IF(OR($E61=8,$E61=14,$E61=15,$E61=23,$E62=1,$E63=1),"Fast day",""))</f>
        <v/>
      </c>
      <c r="I61" s="0">
        <f>IFERROR(INDEX(lookup!$E:$E,MATCH($C61,lookup!$D:$D,0)),"")</f>
        <v/>
      </c>
      <c r="J61" s="0">
        <f>IF($I61="","",IF(OR($I61=1,$I61=5,$I61=9),IF($K61="","Long fast month","Long fast month (LEAP)"),""))</f>
        <v/>
      </c>
      <c r="K61" s="0">
        <f>IFERROR(IF(INDEX(lookup!$G:$G,MATCH($C61,lookup!$D:$D,0))="LEAP","LEAP MONTH - counts as month "&amp;$I61&amp;", flagged for review",""),"")</f>
        <v/>
      </c>
    </row>
    <row r="62">
      <c r="A62" s="12">
        <f>A61+1</f>
        <v/>
      </c>
      <c r="B62" s="0">
        <f>TEXT(A62,"ddd")</f>
        <v/>
      </c>
      <c r="C62" s="0">
        <f>IFERROR(INDEX(lunar_ref!$B:$B,MATCH($A62,lunar_ref!$A:$A,0)),"")</f>
        <v/>
      </c>
      <c r="D62" s="0">
        <f>IFERROR(INDEX(lunar_ref!$C:$C,MATCH($A62,lunar_ref!$A:$A,0)),"")</f>
        <v/>
      </c>
      <c r="E62" s="0">
        <f>_xlfn.XLOOKUP($D62,lookup!$A:$A,lookup!$B:$B)</f>
        <v/>
      </c>
      <c r="F62" s="0">
        <f>IF($E62=1,"New",IF($E62=15,"Full",""))</f>
        <v/>
      </c>
      <c r="H62" s="0">
        <f>IF($E62="","",IF(OR($E62=8,$E62=14,$E62=15,$E62=23,$E63=1,$E64=1),"Fast day",""))</f>
        <v/>
      </c>
      <c r="I62" s="0">
        <f>IFERROR(INDEX(lookup!$E:$E,MATCH($C62,lookup!$D:$D,0)),"")</f>
        <v/>
      </c>
      <c r="J62" s="0">
        <f>IF($I62="","",IF(OR($I62=1,$I62=5,$I62=9),IF($K62="","Long fast month","Long fast month (LEAP)"),""))</f>
        <v/>
      </c>
      <c r="K62" s="0">
        <f>IFERROR(IF(INDEX(lookup!$G:$G,MATCH($C62,lookup!$D:$D,0))="LEAP","LEAP MONTH - counts as month "&amp;$I62&amp;", flagged for review",""),"")</f>
        <v/>
      </c>
    </row>
    <row r="63">
      <c r="A63" s="12">
        <f>A62+1</f>
        <v/>
      </c>
      <c r="B63" s="0">
        <f>TEXT(A63,"ddd")</f>
        <v/>
      </c>
      <c r="C63" s="0">
        <f>IFERROR(INDEX(lunar_ref!$B:$B,MATCH($A63,lunar_ref!$A:$A,0)),"")</f>
        <v/>
      </c>
      <c r="D63" s="0">
        <f>IFERROR(INDEX(lunar_ref!$C:$C,MATCH($A63,lunar_ref!$A:$A,0)),"")</f>
        <v/>
      </c>
      <c r="E63" s="0">
        <f>_xlfn.XLOOKUP($D63,lookup!$A:$A,lookup!$B:$B)</f>
        <v/>
      </c>
      <c r="F63" s="0">
        <f>IF($E63=1,"New",IF($E63=15,"Full",""))</f>
        <v/>
      </c>
      <c r="H63" s="0">
        <f>IF($E63="","",IF(OR($E63=8,$E63=14,$E63=15,$E63=23,$E64=1,$E65=1),"Fast day",""))</f>
        <v/>
      </c>
      <c r="I63" s="0">
        <f>IFERROR(INDEX(lookup!$E:$E,MATCH($C63,lookup!$D:$D,0)),"")</f>
        <v/>
      </c>
      <c r="J63" s="0">
        <f>IF($I63="","",IF(OR($I63=1,$I63=5,$I63=9),IF($K63="","Long fast month","Long fast month (LEAP)"),""))</f>
        <v/>
      </c>
      <c r="K63" s="0">
        <f>IFERROR(IF(INDEX(lookup!$G:$G,MATCH($C63,lookup!$D:$D,0))="LEAP","LEAP MONTH - counts as month "&amp;$I63&amp;", flagged for review",""),"")</f>
        <v/>
      </c>
    </row>
    <row r="64">
      <c r="A64" s="12">
        <f>A63+1</f>
        <v/>
      </c>
      <c r="B64" s="0">
        <f>TEXT(A64,"ddd")</f>
        <v/>
      </c>
      <c r="C64" s="0">
        <f>IFERROR(INDEX(lunar_ref!$B:$B,MATCH($A64,lunar_ref!$A:$A,0)),"")</f>
        <v/>
      </c>
      <c r="D64" s="0">
        <f>IFERROR(INDEX(lunar_ref!$C:$C,MATCH($A64,lunar_ref!$A:$A,0)),"")</f>
        <v/>
      </c>
      <c r="E64" s="0">
        <f>_xlfn.XLOOKUP($D64,lookup!$A:$A,lookup!$B:$B)</f>
        <v/>
      </c>
      <c r="F64" s="0">
        <f>IF($E64=1,"New",IF($E64=15,"Full",""))</f>
        <v/>
      </c>
      <c r="H64" s="0">
        <f>IF($E64="","",IF(OR($E64=8,$E64=14,$E64=15,$E64=23,$E65=1,$E66=1),"Fast day",""))</f>
        <v/>
      </c>
      <c r="I64" s="0">
        <f>IFERROR(INDEX(lookup!$E:$E,MATCH($C64,lookup!$D:$D,0)),"")</f>
        <v/>
      </c>
      <c r="J64" s="0">
        <f>IF($I64="","",IF(OR($I64=1,$I64=5,$I64=9),IF($K64="","Long fast month","Long fast month (LEAP)"),""))</f>
        <v/>
      </c>
      <c r="K64" s="0">
        <f>IFERROR(IF(INDEX(lookup!$G:$G,MATCH($C64,lookup!$D:$D,0))="LEAP","LEAP MONTH - counts as month "&amp;$I64&amp;", flagged for review",""),"")</f>
        <v/>
      </c>
    </row>
    <row r="65">
      <c r="A65" s="12">
        <f>A64+1</f>
        <v/>
      </c>
      <c r="B65" s="0">
        <f>TEXT(A65,"ddd")</f>
        <v/>
      </c>
      <c r="C65" s="0">
        <f>IFERROR(INDEX(lunar_ref!$B:$B,MATCH($A65,lunar_ref!$A:$A,0)),"")</f>
        <v/>
      </c>
      <c r="D65" s="0">
        <f>IFERROR(INDEX(lunar_ref!$C:$C,MATCH($A65,lunar_ref!$A:$A,0)),"")</f>
        <v/>
      </c>
      <c r="E65" s="0">
        <f>_xlfn.XLOOKUP($D65,lookup!$A:$A,lookup!$B:$B)</f>
        <v/>
      </c>
      <c r="F65" s="0">
        <f>IF($E65=1,"New",IF($E65=15,"Full",""))</f>
        <v/>
      </c>
      <c r="H65" s="0">
        <f>IF($E65="","",IF(OR($E65=8,$E65=14,$E65=15,$E65=23,$E66=1,$E67=1),"Fast day",""))</f>
        <v/>
      </c>
      <c r="I65" s="0">
        <f>IFERROR(INDEX(lookup!$E:$E,MATCH($C65,lookup!$D:$D,0)),"")</f>
        <v/>
      </c>
      <c r="J65" s="0">
        <f>IF($I65="","",IF(OR($I65=1,$I65=5,$I65=9),IF($K65="","Long fast month","Long fast month (LEAP)"),""))</f>
        <v/>
      </c>
      <c r="K65" s="0">
        <f>IFERROR(IF(INDEX(lookup!$G:$G,MATCH($C65,lookup!$D:$D,0))="LEAP","LEAP MONTH - counts as month "&amp;$I65&amp;", flagged for review",""),"")</f>
        <v/>
      </c>
    </row>
    <row r="66">
      <c r="A66" s="12">
        <f>A65+1</f>
        <v/>
      </c>
      <c r="B66" s="0">
        <f>TEXT(A66,"ddd")</f>
        <v/>
      </c>
      <c r="C66" s="0">
        <f>IFERROR(INDEX(lunar_ref!$B:$B,MATCH($A66,lunar_ref!$A:$A,0)),"")</f>
        <v/>
      </c>
      <c r="D66" s="0">
        <f>IFERROR(INDEX(lunar_ref!$C:$C,MATCH($A66,lunar_ref!$A:$A,0)),"")</f>
        <v/>
      </c>
      <c r="E66" s="0">
        <f>_xlfn.XLOOKUP($D66,lookup!$A:$A,lookup!$B:$B)</f>
        <v/>
      </c>
      <c r="F66" s="0">
        <f>IF($E66=1,"New",IF($E66=15,"Full",""))</f>
        <v/>
      </c>
      <c r="H66" s="0">
        <f>IF($E66="","",IF(OR($E66=8,$E66=14,$E66=15,$E66=23,$E67=1,$E68=1),"Fast day",""))</f>
        <v/>
      </c>
      <c r="I66" s="0">
        <f>IFERROR(INDEX(lookup!$E:$E,MATCH($C66,lookup!$D:$D,0)),"")</f>
        <v/>
      </c>
      <c r="J66" s="0">
        <f>IF($I66="","",IF(OR($I66=1,$I66=5,$I66=9),IF($K66="","Long fast month","Long fast month (LEAP)"),""))</f>
        <v/>
      </c>
      <c r="K66" s="0">
        <f>IFERROR(IF(INDEX(lookup!$G:$G,MATCH($C66,lookup!$D:$D,0))="LEAP","LEAP MONTH - counts as month "&amp;$I66&amp;", flagged for review",""),"")</f>
        <v/>
      </c>
    </row>
    <row r="67">
      <c r="A67" s="12">
        <f>A66+1</f>
        <v/>
      </c>
      <c r="B67" s="0">
        <f>TEXT(A67,"ddd")</f>
        <v/>
      </c>
      <c r="C67" s="0">
        <f>IFERROR(INDEX(lunar_ref!$B:$B,MATCH($A67,lunar_ref!$A:$A,0)),"")</f>
        <v/>
      </c>
      <c r="D67" s="0">
        <f>IFERROR(INDEX(lunar_ref!$C:$C,MATCH($A67,lunar_ref!$A:$A,0)),"")</f>
        <v/>
      </c>
      <c r="E67" s="0">
        <f>_xlfn.XLOOKUP($D67,lookup!$A:$A,lookup!$B:$B)</f>
        <v/>
      </c>
      <c r="F67" s="0">
        <f>IF($E67=1,"New",IF($E67=15,"Full",""))</f>
        <v/>
      </c>
      <c r="H67" s="0">
        <f>IF($E67="","",IF(OR($E67=8,$E67=14,$E67=15,$E67=23,$E68=1,$E69=1),"Fast day",""))</f>
        <v/>
      </c>
      <c r="I67" s="0">
        <f>IFERROR(INDEX(lookup!$E:$E,MATCH($C67,lookup!$D:$D,0)),"")</f>
        <v/>
      </c>
      <c r="J67" s="0">
        <f>IF($I67="","",IF(OR($I67=1,$I67=5,$I67=9),IF($K67="","Long fast month","Long fast month (LEAP)"),""))</f>
        <v/>
      </c>
      <c r="K67" s="0">
        <f>IFERROR(IF(INDEX(lookup!$G:$G,MATCH($C67,lookup!$D:$D,0))="LEAP","LEAP MONTH - counts as month "&amp;$I67&amp;", flagged for review",""),"")</f>
        <v/>
      </c>
    </row>
    <row r="68">
      <c r="A68" s="12">
        <f>A67+1</f>
        <v/>
      </c>
      <c r="B68" s="0">
        <f>TEXT(A68,"ddd")</f>
        <v/>
      </c>
      <c r="C68" s="0">
        <f>IFERROR(INDEX(lunar_ref!$B:$B,MATCH($A68,lunar_ref!$A:$A,0)),"")</f>
        <v/>
      </c>
      <c r="D68" s="0">
        <f>IFERROR(INDEX(lunar_ref!$C:$C,MATCH($A68,lunar_ref!$A:$A,0)),"")</f>
        <v/>
      </c>
      <c r="E68" s="0">
        <f>_xlfn.XLOOKUP($D68,lookup!$A:$A,lookup!$B:$B)</f>
        <v/>
      </c>
      <c r="F68" s="0">
        <f>IF($E68=1,"New",IF($E68=15,"Full",""))</f>
        <v/>
      </c>
      <c r="H68" s="0">
        <f>IF($E68="","",IF(OR($E68=8,$E68=14,$E68=15,$E68=23,$E69=1,$E70=1),"Fast day",""))</f>
        <v/>
      </c>
      <c r="I68" s="0">
        <f>IFERROR(INDEX(lookup!$E:$E,MATCH($C68,lookup!$D:$D,0)),"")</f>
        <v/>
      </c>
      <c r="J68" s="0">
        <f>IF($I68="","",IF(OR($I68=1,$I68=5,$I68=9),IF($K68="","Long fast month","Long fast month (LEAP)"),""))</f>
        <v/>
      </c>
      <c r="K68" s="0">
        <f>IFERROR(IF(INDEX(lookup!$G:$G,MATCH($C68,lookup!$D:$D,0))="LEAP","LEAP MONTH - counts as month "&amp;$I68&amp;", flagged for review",""),"")</f>
        <v/>
      </c>
    </row>
    <row r="69">
      <c r="A69" s="12">
        <f>A68+1</f>
        <v/>
      </c>
      <c r="B69" s="0">
        <f>TEXT(A69,"ddd")</f>
        <v/>
      </c>
      <c r="C69" s="0">
        <f>IFERROR(INDEX(lunar_ref!$B:$B,MATCH($A69,lunar_ref!$A:$A,0)),"")</f>
        <v/>
      </c>
      <c r="D69" s="0">
        <f>IFERROR(INDEX(lunar_ref!$C:$C,MATCH($A69,lunar_ref!$A:$A,0)),"")</f>
        <v/>
      </c>
      <c r="E69" s="0">
        <f>_xlfn.XLOOKUP($D69,lookup!$A:$A,lookup!$B:$B)</f>
        <v/>
      </c>
      <c r="F69" s="0">
        <f>IF($E69=1,"New",IF($E69=15,"Full",""))</f>
        <v/>
      </c>
      <c r="H69" s="0">
        <f>IF($E69="","",IF(OR($E69=8,$E69=14,$E69=15,$E69=23,$E70=1,$E71=1),"Fast day",""))</f>
        <v/>
      </c>
      <c r="I69" s="0">
        <f>IFERROR(INDEX(lookup!$E:$E,MATCH($C69,lookup!$D:$D,0)),"")</f>
        <v/>
      </c>
      <c r="J69" s="0">
        <f>IF($I69="","",IF(OR($I69=1,$I69=5,$I69=9),IF($K69="","Long fast month","Long fast month (LEAP)"),""))</f>
        <v/>
      </c>
      <c r="K69" s="0">
        <f>IFERROR(IF(INDEX(lookup!$G:$G,MATCH($C69,lookup!$D:$D,0))="LEAP","LEAP MONTH - counts as month "&amp;$I69&amp;", flagged for review",""),"")</f>
        <v/>
      </c>
    </row>
    <row r="70">
      <c r="A70" s="12">
        <f>A69+1</f>
        <v/>
      </c>
      <c r="B70" s="0">
        <f>TEXT(A70,"ddd")</f>
        <v/>
      </c>
      <c r="C70" s="0">
        <f>IFERROR(INDEX(lunar_ref!$B:$B,MATCH($A70,lunar_ref!$A:$A,0)),"")</f>
        <v/>
      </c>
      <c r="D70" s="0">
        <f>IFERROR(INDEX(lunar_ref!$C:$C,MATCH($A70,lunar_ref!$A:$A,0)),"")</f>
        <v/>
      </c>
      <c r="E70" s="0">
        <f>_xlfn.XLOOKUP($D70,lookup!$A:$A,lookup!$B:$B)</f>
        <v/>
      </c>
      <c r="F70" s="0">
        <f>IF($E70=1,"New",IF($E70=15,"Full",""))</f>
        <v/>
      </c>
      <c r="H70" s="0">
        <f>IF($E70="","",IF(OR($E70=8,$E70=14,$E70=15,$E70=23,$E71=1,$E72=1),"Fast day",""))</f>
        <v/>
      </c>
      <c r="I70" s="0">
        <f>IFERROR(INDEX(lookup!$E:$E,MATCH($C70,lookup!$D:$D,0)),"")</f>
        <v/>
      </c>
      <c r="J70" s="0">
        <f>IF($I70="","",IF(OR($I70=1,$I70=5,$I70=9),IF($K70="","Long fast month","Long fast month (LEAP)"),""))</f>
        <v/>
      </c>
      <c r="K70" s="0">
        <f>IFERROR(IF(INDEX(lookup!$G:$G,MATCH($C70,lookup!$D:$D,0))="LEAP","LEAP MONTH - counts as month "&amp;$I70&amp;", flagged for review",""),"")</f>
        <v/>
      </c>
    </row>
    <row r="71">
      <c r="A71" s="12">
        <f>A70+1</f>
        <v/>
      </c>
      <c r="B71" s="0">
        <f>TEXT(A71,"ddd")</f>
        <v/>
      </c>
      <c r="C71" s="0">
        <f>IFERROR(INDEX(lunar_ref!$B:$B,MATCH($A71,lunar_ref!$A:$A,0)),"")</f>
        <v/>
      </c>
      <c r="D71" s="0">
        <f>IFERROR(INDEX(lunar_ref!$C:$C,MATCH($A71,lunar_ref!$A:$A,0)),"")</f>
        <v/>
      </c>
      <c r="E71" s="0">
        <f>_xlfn.XLOOKUP($D71,lookup!$A:$A,lookup!$B:$B)</f>
        <v/>
      </c>
      <c r="F71" s="0">
        <f>IF($E71=1,"New",IF($E71=15,"Full",""))</f>
        <v/>
      </c>
      <c r="H71" s="0">
        <f>IF($E71="","",IF(OR($E71=8,$E71=14,$E71=15,$E71=23,$E72=1,$E73=1),"Fast day",""))</f>
        <v/>
      </c>
      <c r="I71" s="0">
        <f>IFERROR(INDEX(lookup!$E:$E,MATCH($C71,lookup!$D:$D,0)),"")</f>
        <v/>
      </c>
      <c r="J71" s="0">
        <f>IF($I71="","",IF(OR($I71=1,$I71=5,$I71=9),IF($K71="","Long fast month","Long fast month (LEAP)"),""))</f>
        <v/>
      </c>
      <c r="K71" s="0">
        <f>IFERROR(IF(INDEX(lookup!$G:$G,MATCH($C71,lookup!$D:$D,0))="LEAP","LEAP MONTH - counts as month "&amp;$I71&amp;", flagged for review",""),"")</f>
        <v/>
      </c>
    </row>
    <row r="72">
      <c r="A72" s="12">
        <f>A71+1</f>
        <v/>
      </c>
      <c r="B72" s="0">
        <f>TEXT(A72,"ddd")</f>
        <v/>
      </c>
      <c r="C72" s="0">
        <f>IFERROR(INDEX(lunar_ref!$B:$B,MATCH($A72,lunar_ref!$A:$A,0)),"")</f>
        <v/>
      </c>
      <c r="D72" s="0">
        <f>IFERROR(INDEX(lunar_ref!$C:$C,MATCH($A72,lunar_ref!$A:$A,0)),"")</f>
        <v/>
      </c>
      <c r="E72" s="0">
        <f>_xlfn.XLOOKUP($D72,lookup!$A:$A,lookup!$B:$B)</f>
        <v/>
      </c>
      <c r="F72" s="0">
        <f>IF($E72=1,"New",IF($E72=15,"Full",""))</f>
        <v/>
      </c>
      <c r="H72" s="0">
        <f>IF($E72="","",IF(OR($E72=8,$E72=14,$E72=15,$E72=23,$E73=1,$E74=1),"Fast day",""))</f>
        <v/>
      </c>
      <c r="I72" s="0">
        <f>IFERROR(INDEX(lookup!$E:$E,MATCH($C72,lookup!$D:$D,0)),"")</f>
        <v/>
      </c>
      <c r="J72" s="0">
        <f>IF($I72="","",IF(OR($I72=1,$I72=5,$I72=9),IF($K72="","Long fast month","Long fast month (LEAP)"),""))</f>
        <v/>
      </c>
      <c r="K72" s="0">
        <f>IFERROR(IF(INDEX(lookup!$G:$G,MATCH($C72,lookup!$D:$D,0))="LEAP","LEAP MONTH - counts as month "&amp;$I72&amp;", flagged for review",""),"")</f>
        <v/>
      </c>
    </row>
    <row r="73">
      <c r="A73" s="12">
        <f>A72+1</f>
        <v/>
      </c>
      <c r="B73" s="0">
        <f>TEXT(A73,"ddd")</f>
        <v/>
      </c>
      <c r="C73" s="0">
        <f>IFERROR(INDEX(lunar_ref!$B:$B,MATCH($A73,lunar_ref!$A:$A,0)),"")</f>
        <v/>
      </c>
      <c r="D73" s="0">
        <f>IFERROR(INDEX(lunar_ref!$C:$C,MATCH($A73,lunar_ref!$A:$A,0)),"")</f>
        <v/>
      </c>
      <c r="E73" s="0">
        <f>_xlfn.XLOOKUP($D73,lookup!$A:$A,lookup!$B:$B)</f>
        <v/>
      </c>
      <c r="F73" s="0">
        <f>IF($E73=1,"New",IF($E73=15,"Full",""))</f>
        <v/>
      </c>
      <c r="H73" s="0">
        <f>IF($E73="","",IF(OR($E73=8,$E73=14,$E73=15,$E73=23,$E74=1,$E75=1),"Fast day",""))</f>
        <v/>
      </c>
      <c r="I73" s="0">
        <f>IFERROR(INDEX(lookup!$E:$E,MATCH($C73,lookup!$D:$D,0)),"")</f>
        <v/>
      </c>
      <c r="J73" s="0">
        <f>IF($I73="","",IF(OR($I73=1,$I73=5,$I73=9),IF($K73="","Long fast month","Long fast month (LEAP)"),""))</f>
        <v/>
      </c>
      <c r="K73" s="0">
        <f>IFERROR(IF(INDEX(lookup!$G:$G,MATCH($C73,lookup!$D:$D,0))="LEAP","LEAP MONTH - counts as month "&amp;$I73&amp;", flagged for review",""),"")</f>
        <v/>
      </c>
    </row>
    <row r="74">
      <c r="A74" s="12">
        <f>A73+1</f>
        <v/>
      </c>
      <c r="B74" s="0">
        <f>TEXT(A74,"ddd")</f>
        <v/>
      </c>
      <c r="C74" s="0">
        <f>IFERROR(INDEX(lunar_ref!$B:$B,MATCH($A74,lunar_ref!$A:$A,0)),"")</f>
        <v/>
      </c>
      <c r="D74" s="0">
        <f>IFERROR(INDEX(lunar_ref!$C:$C,MATCH($A74,lunar_ref!$A:$A,0)),"")</f>
        <v/>
      </c>
      <c r="E74" s="0">
        <f>_xlfn.XLOOKUP($D74,lookup!$A:$A,lookup!$B:$B)</f>
        <v/>
      </c>
      <c r="F74" s="0">
        <f>IF($E74=1,"New",IF($E74=15,"Full",""))</f>
        <v/>
      </c>
      <c r="H74" s="0">
        <f>IF($E74="","",IF(OR($E74=8,$E74=14,$E74=15,$E74=23,$E75=1,$E76=1),"Fast day",""))</f>
        <v/>
      </c>
      <c r="I74" s="0">
        <f>IFERROR(INDEX(lookup!$E:$E,MATCH($C74,lookup!$D:$D,0)),"")</f>
        <v/>
      </c>
      <c r="J74" s="0">
        <f>IF($I74="","",IF(OR($I74=1,$I74=5,$I74=9),IF($K74="","Long fast month","Long fast month (LEAP)"),""))</f>
        <v/>
      </c>
      <c r="K74" s="0">
        <f>IFERROR(IF(INDEX(lookup!$G:$G,MATCH($C74,lookup!$D:$D,0))="LEAP","LEAP MONTH - counts as month "&amp;$I74&amp;", flagged for review",""),"")</f>
        <v/>
      </c>
    </row>
    <row r="75">
      <c r="A75" s="12">
        <f>A74+1</f>
        <v/>
      </c>
      <c r="B75" s="0">
        <f>TEXT(A75,"ddd")</f>
        <v/>
      </c>
      <c r="C75" s="0">
        <f>IFERROR(INDEX(lunar_ref!$B:$B,MATCH($A75,lunar_ref!$A:$A,0)),"")</f>
        <v/>
      </c>
      <c r="D75" s="0">
        <f>IFERROR(INDEX(lunar_ref!$C:$C,MATCH($A75,lunar_ref!$A:$A,0)),"")</f>
        <v/>
      </c>
      <c r="E75" s="0">
        <f>_xlfn.XLOOKUP($D75,lookup!$A:$A,lookup!$B:$B)</f>
        <v/>
      </c>
      <c r="F75" s="0">
        <f>IF($E75=1,"New",IF($E75=15,"Full",""))</f>
        <v/>
      </c>
      <c r="H75" s="0">
        <f>IF($E75="","",IF(OR($E75=8,$E75=14,$E75=15,$E75=23,$E76=1,$E77=1),"Fast day",""))</f>
        <v/>
      </c>
      <c r="I75" s="0">
        <f>IFERROR(INDEX(lookup!$E:$E,MATCH($C75,lookup!$D:$D,0)),"")</f>
        <v/>
      </c>
      <c r="J75" s="0">
        <f>IF($I75="","",IF(OR($I75=1,$I75=5,$I75=9),IF($K75="","Long fast month","Long fast month (LEAP)"),""))</f>
        <v/>
      </c>
      <c r="K75" s="0">
        <f>IFERROR(IF(INDEX(lookup!$G:$G,MATCH($C75,lookup!$D:$D,0))="LEAP","LEAP MONTH - counts as month "&amp;$I75&amp;", flagged for review",""),"")</f>
        <v/>
      </c>
    </row>
    <row r="76">
      <c r="A76" s="12">
        <f>A75+1</f>
        <v/>
      </c>
      <c r="B76" s="0">
        <f>TEXT(A76,"ddd")</f>
        <v/>
      </c>
      <c r="C76" s="0">
        <f>IFERROR(INDEX(lunar_ref!$B:$B,MATCH($A76,lunar_ref!$A:$A,0)),"")</f>
        <v/>
      </c>
      <c r="D76" s="0">
        <f>IFERROR(INDEX(lunar_ref!$C:$C,MATCH($A76,lunar_ref!$A:$A,0)),"")</f>
        <v/>
      </c>
      <c r="E76" s="0">
        <f>_xlfn.XLOOKUP($D76,lookup!$A:$A,lookup!$B:$B)</f>
        <v/>
      </c>
      <c r="F76" s="0">
        <f>IF($E76=1,"New",IF($E76=15,"Full",""))</f>
        <v/>
      </c>
      <c r="H76" s="0">
        <f>IF($E76="","",IF(OR($E76=8,$E76=14,$E76=15,$E76=23,$E77=1,$E78=1),"Fast day",""))</f>
        <v/>
      </c>
      <c r="I76" s="0">
        <f>IFERROR(INDEX(lookup!$E:$E,MATCH($C76,lookup!$D:$D,0)),"")</f>
        <v/>
      </c>
      <c r="J76" s="0">
        <f>IF($I76="","",IF(OR($I76=1,$I76=5,$I76=9),IF($K76="","Long fast month","Long fast month (LEAP)"),""))</f>
        <v/>
      </c>
      <c r="K76" s="0">
        <f>IFERROR(IF(INDEX(lookup!$G:$G,MATCH($C76,lookup!$D:$D,0))="LEAP","LEAP MONTH - counts as month "&amp;$I76&amp;", flagged for review",""),"")</f>
        <v/>
      </c>
    </row>
    <row r="77">
      <c r="A77" s="12">
        <f>A76+1</f>
        <v/>
      </c>
      <c r="B77" s="0">
        <f>TEXT(A77,"ddd")</f>
        <v/>
      </c>
      <c r="C77" s="0">
        <f>IFERROR(INDEX(lunar_ref!$B:$B,MATCH($A77,lunar_ref!$A:$A,0)),"")</f>
        <v/>
      </c>
      <c r="D77" s="0">
        <f>IFERROR(INDEX(lunar_ref!$C:$C,MATCH($A77,lunar_ref!$A:$A,0)),"")</f>
        <v/>
      </c>
      <c r="E77" s="0">
        <f>_xlfn.XLOOKUP($D77,lookup!$A:$A,lookup!$B:$B)</f>
        <v/>
      </c>
      <c r="F77" s="0">
        <f>IF($E77=1,"New",IF($E77=15,"Full",""))</f>
        <v/>
      </c>
      <c r="H77" s="0">
        <f>IF($E77="","",IF(OR($E77=8,$E77=14,$E77=15,$E77=23,$E78=1,$E79=1),"Fast day",""))</f>
        <v/>
      </c>
      <c r="I77" s="0">
        <f>IFERROR(INDEX(lookup!$E:$E,MATCH($C77,lookup!$D:$D,0)),"")</f>
        <v/>
      </c>
      <c r="J77" s="0">
        <f>IF($I77="","",IF(OR($I77=1,$I77=5,$I77=9),IF($K77="","Long fast month","Long fast month (LEAP)"),""))</f>
        <v/>
      </c>
      <c r="K77" s="0">
        <f>IFERROR(IF(INDEX(lookup!$G:$G,MATCH($C77,lookup!$D:$D,0))="LEAP","LEAP MONTH - counts as month "&amp;$I77&amp;", flagged for review",""),"")</f>
        <v/>
      </c>
    </row>
    <row r="78">
      <c r="A78" s="12">
        <f>A77+1</f>
        <v/>
      </c>
      <c r="B78" s="0">
        <f>TEXT(A78,"ddd")</f>
        <v/>
      </c>
      <c r="C78" s="0">
        <f>IFERROR(INDEX(lunar_ref!$B:$B,MATCH($A78,lunar_ref!$A:$A,0)),"")</f>
        <v/>
      </c>
      <c r="D78" s="0">
        <f>IFERROR(INDEX(lunar_ref!$C:$C,MATCH($A78,lunar_ref!$A:$A,0)),"")</f>
        <v/>
      </c>
      <c r="E78" s="0">
        <f>_xlfn.XLOOKUP($D78,lookup!$A:$A,lookup!$B:$B)</f>
        <v/>
      </c>
      <c r="F78" s="0">
        <f>IF($E78=1,"New",IF($E78=15,"Full",""))</f>
        <v/>
      </c>
      <c r="H78" s="0">
        <f>IF($E78="","",IF(OR($E78=8,$E78=14,$E78=15,$E78=23,$E79=1,$E80=1),"Fast day",""))</f>
        <v/>
      </c>
      <c r="I78" s="0">
        <f>IFERROR(INDEX(lookup!$E:$E,MATCH($C78,lookup!$D:$D,0)),"")</f>
        <v/>
      </c>
      <c r="J78" s="0">
        <f>IF($I78="","",IF(OR($I78=1,$I78=5,$I78=9),IF($K78="","Long fast month","Long fast month (LEAP)"),""))</f>
        <v/>
      </c>
      <c r="K78" s="0">
        <f>IFERROR(IF(INDEX(lookup!$G:$G,MATCH($C78,lookup!$D:$D,0))="LEAP","LEAP MONTH - counts as month "&amp;$I78&amp;", flagged for review",""),"")</f>
        <v/>
      </c>
    </row>
    <row r="79">
      <c r="A79" s="12">
        <f>A78+1</f>
        <v/>
      </c>
      <c r="B79" s="0">
        <f>TEXT(A79,"ddd")</f>
        <v/>
      </c>
      <c r="C79" s="0">
        <f>IFERROR(INDEX(lunar_ref!$B:$B,MATCH($A79,lunar_ref!$A:$A,0)),"")</f>
        <v/>
      </c>
      <c r="D79" s="0">
        <f>IFERROR(INDEX(lunar_ref!$C:$C,MATCH($A79,lunar_ref!$A:$A,0)),"")</f>
        <v/>
      </c>
      <c r="E79" s="0">
        <f>_xlfn.XLOOKUP($D79,lookup!$A:$A,lookup!$B:$B)</f>
        <v/>
      </c>
      <c r="F79" s="0">
        <f>IF($E79=1,"New",IF($E79=15,"Full",""))</f>
        <v/>
      </c>
      <c r="H79" s="0">
        <f>IF($E79="","",IF(OR($E79=8,$E79=14,$E79=15,$E79=23,$E80=1,$E81=1),"Fast day",""))</f>
        <v/>
      </c>
      <c r="I79" s="0">
        <f>IFERROR(INDEX(lookup!$E:$E,MATCH($C79,lookup!$D:$D,0)),"")</f>
        <v/>
      </c>
      <c r="J79" s="0">
        <f>IF($I79="","",IF(OR($I79=1,$I79=5,$I79=9),IF($K79="","Long fast month","Long fast month (LEAP)"),""))</f>
        <v/>
      </c>
      <c r="K79" s="0">
        <f>IFERROR(IF(INDEX(lookup!$G:$G,MATCH($C79,lookup!$D:$D,0))="LEAP","LEAP MONTH - counts as month "&amp;$I79&amp;", flagged for review",""),"")</f>
        <v/>
      </c>
    </row>
    <row r="80">
      <c r="A80" s="12">
        <f>A79+1</f>
        <v/>
      </c>
      <c r="B80" s="0">
        <f>TEXT(A80,"ddd")</f>
        <v/>
      </c>
      <c r="C80" s="0">
        <f>IFERROR(INDEX(lunar_ref!$B:$B,MATCH($A80,lunar_ref!$A:$A,0)),"")</f>
        <v/>
      </c>
      <c r="D80" s="0">
        <f>IFERROR(INDEX(lunar_ref!$C:$C,MATCH($A80,lunar_ref!$A:$A,0)),"")</f>
        <v/>
      </c>
      <c r="E80" s="0">
        <f>_xlfn.XLOOKUP($D80,lookup!$A:$A,lookup!$B:$B)</f>
        <v/>
      </c>
      <c r="F80" s="0">
        <f>IF($E80=1,"New",IF($E80=15,"Full",""))</f>
        <v/>
      </c>
      <c r="H80" s="0">
        <f>IF($E80="","",IF(OR($E80=8,$E80=14,$E80=15,$E80=23,$E81=1,$E82=1),"Fast day",""))</f>
        <v/>
      </c>
      <c r="I80" s="0">
        <f>IFERROR(INDEX(lookup!$E:$E,MATCH($C80,lookup!$D:$D,0)),"")</f>
        <v/>
      </c>
      <c r="J80" s="0">
        <f>IF($I80="","",IF(OR($I80=1,$I80=5,$I80=9),IF($K80="","Long fast month","Long fast month (LEAP)"),""))</f>
        <v/>
      </c>
      <c r="K80" s="0">
        <f>IFERROR(IF(INDEX(lookup!$G:$G,MATCH($C80,lookup!$D:$D,0))="LEAP","LEAP MONTH - counts as month "&amp;$I80&amp;", flagged for review",""),"")</f>
        <v/>
      </c>
    </row>
    <row r="81">
      <c r="A81" s="12">
        <f>A80+1</f>
        <v/>
      </c>
      <c r="B81" s="0">
        <f>TEXT(A81,"ddd")</f>
        <v/>
      </c>
      <c r="C81" s="0">
        <f>IFERROR(INDEX(lunar_ref!$B:$B,MATCH($A81,lunar_ref!$A:$A,0)),"")</f>
        <v/>
      </c>
      <c r="D81" s="0">
        <f>IFERROR(INDEX(lunar_ref!$C:$C,MATCH($A81,lunar_ref!$A:$A,0)),"")</f>
        <v/>
      </c>
      <c r="E81" s="0">
        <f>_xlfn.XLOOKUP($D81,lookup!$A:$A,lookup!$B:$B)</f>
        <v/>
      </c>
      <c r="F81" s="0">
        <f>IF($E81=1,"New",IF($E81=15,"Full",""))</f>
        <v/>
      </c>
      <c r="H81" s="0">
        <f>IF($E81="","",IF(OR($E81=8,$E81=14,$E81=15,$E81=23,$E82=1,$E83=1),"Fast day",""))</f>
        <v/>
      </c>
      <c r="I81" s="0">
        <f>IFERROR(INDEX(lookup!$E:$E,MATCH($C81,lookup!$D:$D,0)),"")</f>
        <v/>
      </c>
      <c r="J81" s="0">
        <f>IF($I81="","",IF(OR($I81=1,$I81=5,$I81=9),IF($K81="","Long fast month","Long fast month (LEAP)"),""))</f>
        <v/>
      </c>
      <c r="K81" s="0">
        <f>IFERROR(IF(INDEX(lookup!$G:$G,MATCH($C81,lookup!$D:$D,0))="LEAP","LEAP MONTH - counts as month "&amp;$I81&amp;", flagged for review",""),"")</f>
        <v/>
      </c>
    </row>
    <row r="82">
      <c r="A82" s="12">
        <f>A81+1</f>
        <v/>
      </c>
      <c r="B82" s="0">
        <f>TEXT(A82,"ddd")</f>
        <v/>
      </c>
      <c r="C82" s="0">
        <f>IFERROR(INDEX(lunar_ref!$B:$B,MATCH($A82,lunar_ref!$A:$A,0)),"")</f>
        <v/>
      </c>
      <c r="D82" s="0">
        <f>IFERROR(INDEX(lunar_ref!$C:$C,MATCH($A82,lunar_ref!$A:$A,0)),"")</f>
        <v/>
      </c>
      <c r="E82" s="0">
        <f>_xlfn.XLOOKUP($D82,lookup!$A:$A,lookup!$B:$B)</f>
        <v/>
      </c>
      <c r="F82" s="0">
        <f>IF($E82=1,"New",IF($E82=15,"Full",""))</f>
        <v/>
      </c>
      <c r="H82" s="0">
        <f>IF($E82="","",IF(OR($E82=8,$E82=14,$E82=15,$E82=23,$E83=1,$E84=1),"Fast day",""))</f>
        <v/>
      </c>
      <c r="I82" s="0">
        <f>IFERROR(INDEX(lookup!$E:$E,MATCH($C82,lookup!$D:$D,0)),"")</f>
        <v/>
      </c>
      <c r="J82" s="0">
        <f>IF($I82="","",IF(OR($I82=1,$I82=5,$I82=9),IF($K82="","Long fast month","Long fast month (LEAP)"),""))</f>
        <v/>
      </c>
      <c r="K82" s="0">
        <f>IFERROR(IF(INDEX(lookup!$G:$G,MATCH($C82,lookup!$D:$D,0))="LEAP","LEAP MONTH - counts as month "&amp;$I82&amp;", flagged for review",""),"")</f>
        <v/>
      </c>
    </row>
    <row r="83">
      <c r="A83" s="12">
        <f>A82+1</f>
        <v/>
      </c>
      <c r="B83" s="0">
        <f>TEXT(A83,"ddd")</f>
        <v/>
      </c>
      <c r="C83" s="0">
        <f>IFERROR(INDEX(lunar_ref!$B:$B,MATCH($A83,lunar_ref!$A:$A,0)),"")</f>
        <v/>
      </c>
      <c r="D83" s="0">
        <f>IFERROR(INDEX(lunar_ref!$C:$C,MATCH($A83,lunar_ref!$A:$A,0)),"")</f>
        <v/>
      </c>
      <c r="E83" s="0">
        <f>_xlfn.XLOOKUP($D83,lookup!$A:$A,lookup!$B:$B)</f>
        <v/>
      </c>
      <c r="F83" s="0">
        <f>IF($E83=1,"New",IF($E83=15,"Full",""))</f>
        <v/>
      </c>
      <c r="H83" s="0">
        <f>IF($E83="","",IF(OR($E83=8,$E83=14,$E83=15,$E83=23,$E84=1,$E85=1),"Fast day",""))</f>
        <v/>
      </c>
      <c r="I83" s="0">
        <f>IFERROR(INDEX(lookup!$E:$E,MATCH($C83,lookup!$D:$D,0)),"")</f>
        <v/>
      </c>
      <c r="J83" s="0">
        <f>IF($I83="","",IF(OR($I83=1,$I83=5,$I83=9),IF($K83="","Long fast month","Long fast month (LEAP)"),""))</f>
        <v/>
      </c>
      <c r="K83" s="0">
        <f>IFERROR(IF(INDEX(lookup!$G:$G,MATCH($C83,lookup!$D:$D,0))="LEAP","LEAP MONTH - counts as month "&amp;$I83&amp;", flagged for review",""),"")</f>
        <v/>
      </c>
    </row>
    <row r="84">
      <c r="A84" s="12">
        <f>A83+1</f>
        <v/>
      </c>
      <c r="B84" s="0">
        <f>TEXT(A84,"ddd")</f>
        <v/>
      </c>
      <c r="C84" s="0">
        <f>IFERROR(INDEX(lunar_ref!$B:$B,MATCH($A84,lunar_ref!$A:$A,0)),"")</f>
        <v/>
      </c>
      <c r="D84" s="0">
        <f>IFERROR(INDEX(lunar_ref!$C:$C,MATCH($A84,lunar_ref!$A:$A,0)),"")</f>
        <v/>
      </c>
      <c r="E84" s="0">
        <f>_xlfn.XLOOKUP($D84,lookup!$A:$A,lookup!$B:$B)</f>
        <v/>
      </c>
      <c r="F84" s="0">
        <f>IF($E84=1,"New",IF($E84=15,"Full",""))</f>
        <v/>
      </c>
      <c r="H84" s="0">
        <f>IF($E84="","",IF(OR($E84=8,$E84=14,$E84=15,$E84=23,$E85=1,$E86=1),"Fast day",""))</f>
        <v/>
      </c>
      <c r="I84" s="0">
        <f>IFERROR(INDEX(lookup!$E:$E,MATCH($C84,lookup!$D:$D,0)),"")</f>
        <v/>
      </c>
      <c r="J84" s="0">
        <f>IF($I84="","",IF(OR($I84=1,$I84=5,$I84=9),IF($K84="","Long fast month","Long fast month (LEAP)"),""))</f>
        <v/>
      </c>
      <c r="K84" s="0">
        <f>IFERROR(IF(INDEX(lookup!$G:$G,MATCH($C84,lookup!$D:$D,0))="LEAP","LEAP MONTH - counts as month "&amp;$I84&amp;", flagged for review",""),"")</f>
        <v/>
      </c>
    </row>
    <row r="85">
      <c r="A85" s="12">
        <f>A84+1</f>
        <v/>
      </c>
      <c r="B85" s="0">
        <f>TEXT(A85,"ddd")</f>
        <v/>
      </c>
      <c r="C85" s="0">
        <f>IFERROR(INDEX(lunar_ref!$B:$B,MATCH($A85,lunar_ref!$A:$A,0)),"")</f>
        <v/>
      </c>
      <c r="D85" s="0">
        <f>IFERROR(INDEX(lunar_ref!$C:$C,MATCH($A85,lunar_ref!$A:$A,0)),"")</f>
        <v/>
      </c>
      <c r="E85" s="0">
        <f>_xlfn.XLOOKUP($D85,lookup!$A:$A,lookup!$B:$B)</f>
        <v/>
      </c>
      <c r="F85" s="0">
        <f>IF($E85=1,"New",IF($E85=15,"Full",""))</f>
        <v/>
      </c>
      <c r="H85" s="0">
        <f>IF($E85="","",IF(OR($E85=8,$E85=14,$E85=15,$E85=23,$E86=1,$E87=1),"Fast day",""))</f>
        <v/>
      </c>
      <c r="I85" s="0">
        <f>IFERROR(INDEX(lookup!$E:$E,MATCH($C85,lookup!$D:$D,0)),"")</f>
        <v/>
      </c>
      <c r="J85" s="0">
        <f>IF($I85="","",IF(OR($I85=1,$I85=5,$I85=9),IF($K85="","Long fast month","Long fast month (LEAP)"),""))</f>
        <v/>
      </c>
      <c r="K85" s="0">
        <f>IFERROR(IF(INDEX(lookup!$G:$G,MATCH($C85,lookup!$D:$D,0))="LEAP","LEAP MONTH - counts as month "&amp;$I85&amp;", flagged for review",""),"")</f>
        <v/>
      </c>
    </row>
    <row r="86">
      <c r="A86" s="12">
        <f>A85+1</f>
        <v/>
      </c>
      <c r="B86" s="0">
        <f>TEXT(A86,"ddd")</f>
        <v/>
      </c>
      <c r="C86" s="0">
        <f>IFERROR(INDEX(lunar_ref!$B:$B,MATCH($A86,lunar_ref!$A:$A,0)),"")</f>
        <v/>
      </c>
      <c r="D86" s="0">
        <f>IFERROR(INDEX(lunar_ref!$C:$C,MATCH($A86,lunar_ref!$A:$A,0)),"")</f>
        <v/>
      </c>
      <c r="E86" s="0">
        <f>_xlfn.XLOOKUP($D86,lookup!$A:$A,lookup!$B:$B)</f>
        <v/>
      </c>
      <c r="F86" s="0">
        <f>IF($E86=1,"New",IF($E86=15,"Full",""))</f>
        <v/>
      </c>
      <c r="H86" s="0">
        <f>IF($E86="","",IF(OR($E86=8,$E86=14,$E86=15,$E86=23,$E87=1,$E88=1),"Fast day",""))</f>
        <v/>
      </c>
      <c r="I86" s="0">
        <f>IFERROR(INDEX(lookup!$E:$E,MATCH($C86,lookup!$D:$D,0)),"")</f>
        <v/>
      </c>
      <c r="J86" s="0">
        <f>IF($I86="","",IF(OR($I86=1,$I86=5,$I86=9),IF($K86="","Long fast month","Long fast month (LEAP)"),""))</f>
        <v/>
      </c>
      <c r="K86" s="0">
        <f>IFERROR(IF(INDEX(lookup!$G:$G,MATCH($C86,lookup!$D:$D,0))="LEAP","LEAP MONTH - counts as month "&amp;$I86&amp;", flagged for review",""),"")</f>
        <v/>
      </c>
    </row>
    <row r="87">
      <c r="A87" s="12">
        <f>A86+1</f>
        <v/>
      </c>
      <c r="B87" s="0">
        <f>TEXT(A87,"ddd")</f>
        <v/>
      </c>
      <c r="C87" s="0">
        <f>IFERROR(INDEX(lunar_ref!$B:$B,MATCH($A87,lunar_ref!$A:$A,0)),"")</f>
        <v/>
      </c>
      <c r="D87" s="0">
        <f>IFERROR(INDEX(lunar_ref!$C:$C,MATCH($A87,lunar_ref!$A:$A,0)),"")</f>
        <v/>
      </c>
      <c r="E87" s="0">
        <f>_xlfn.XLOOKUP($D87,lookup!$A:$A,lookup!$B:$B)</f>
        <v/>
      </c>
      <c r="F87" s="0">
        <f>IF($E87=1,"New",IF($E87=15,"Full",""))</f>
        <v/>
      </c>
      <c r="H87" s="0">
        <f>IF($E87="","",IF(OR($E87=8,$E87=14,$E87=15,$E87=23,$E88=1,$E89=1),"Fast day",""))</f>
        <v/>
      </c>
      <c r="I87" s="0">
        <f>IFERROR(INDEX(lookup!$E:$E,MATCH($C87,lookup!$D:$D,0)),"")</f>
        <v/>
      </c>
      <c r="J87" s="0">
        <f>IF($I87="","",IF(OR($I87=1,$I87=5,$I87=9),IF($K87="","Long fast month","Long fast month (LEAP)"),""))</f>
        <v/>
      </c>
      <c r="K87" s="0">
        <f>IFERROR(IF(INDEX(lookup!$G:$G,MATCH($C87,lookup!$D:$D,0))="LEAP","LEAP MONTH - counts as month "&amp;$I87&amp;", flagged for review",""),"")</f>
        <v/>
      </c>
    </row>
    <row r="88">
      <c r="A88" s="12">
        <f>A87+1</f>
        <v/>
      </c>
      <c r="B88" s="0">
        <f>TEXT(A88,"ddd")</f>
        <v/>
      </c>
      <c r="C88" s="0">
        <f>IFERROR(INDEX(lunar_ref!$B:$B,MATCH($A88,lunar_ref!$A:$A,0)),"")</f>
        <v/>
      </c>
      <c r="D88" s="0">
        <f>IFERROR(INDEX(lunar_ref!$C:$C,MATCH($A88,lunar_ref!$A:$A,0)),"")</f>
        <v/>
      </c>
      <c r="E88" s="0">
        <f>_xlfn.XLOOKUP($D88,lookup!$A:$A,lookup!$B:$B)</f>
        <v/>
      </c>
      <c r="F88" s="0">
        <f>IF($E88=1,"New",IF($E88=15,"Full",""))</f>
        <v/>
      </c>
      <c r="H88" s="0">
        <f>IF($E88="","",IF(OR($E88=8,$E88=14,$E88=15,$E88=23,$E89=1,$E90=1),"Fast day",""))</f>
        <v/>
      </c>
      <c r="I88" s="0">
        <f>IFERROR(INDEX(lookup!$E:$E,MATCH($C88,lookup!$D:$D,0)),"")</f>
        <v/>
      </c>
      <c r="J88" s="0">
        <f>IF($I88="","",IF(OR($I88=1,$I88=5,$I88=9),IF($K88="","Long fast month","Long fast month (LEAP)"),""))</f>
        <v/>
      </c>
      <c r="K88" s="0">
        <f>IFERROR(IF(INDEX(lookup!$G:$G,MATCH($C88,lookup!$D:$D,0))="LEAP","LEAP MONTH - counts as month "&amp;$I88&amp;", flagged for review",""),"")</f>
        <v/>
      </c>
    </row>
    <row r="89">
      <c r="A89" s="12">
        <f>A88+1</f>
        <v/>
      </c>
      <c r="B89" s="0">
        <f>TEXT(A89,"ddd")</f>
        <v/>
      </c>
      <c r="C89" s="0">
        <f>IFERROR(INDEX(lunar_ref!$B:$B,MATCH($A89,lunar_ref!$A:$A,0)),"")</f>
        <v/>
      </c>
      <c r="D89" s="0">
        <f>IFERROR(INDEX(lunar_ref!$C:$C,MATCH($A89,lunar_ref!$A:$A,0)),"")</f>
        <v/>
      </c>
      <c r="E89" s="0">
        <f>_xlfn.XLOOKUP($D89,lookup!$A:$A,lookup!$B:$B)</f>
        <v/>
      </c>
      <c r="F89" s="0">
        <f>IF($E89=1,"New",IF($E89=15,"Full",""))</f>
        <v/>
      </c>
      <c r="H89" s="0">
        <f>IF($E89="","",IF(OR($E89=8,$E89=14,$E89=15,$E89=23,$E90=1,$E91=1),"Fast day",""))</f>
        <v/>
      </c>
      <c r="I89" s="0">
        <f>IFERROR(INDEX(lookup!$E:$E,MATCH($C89,lookup!$D:$D,0)),"")</f>
        <v/>
      </c>
      <c r="J89" s="0">
        <f>IF($I89="","",IF(OR($I89=1,$I89=5,$I89=9),IF($K89="","Long fast month","Long fast month (LEAP)"),""))</f>
        <v/>
      </c>
      <c r="K89" s="0">
        <f>IFERROR(IF(INDEX(lookup!$G:$G,MATCH($C89,lookup!$D:$D,0))="LEAP","LEAP MONTH - counts as month "&amp;$I89&amp;", flagged for review",""),"")</f>
        <v/>
      </c>
    </row>
    <row r="90">
      <c r="A90" s="12">
        <f>A89+1</f>
        <v/>
      </c>
      <c r="B90" s="0">
        <f>TEXT(A90,"ddd")</f>
        <v/>
      </c>
      <c r="C90" s="0">
        <f>IFERROR(INDEX(lunar_ref!$B:$B,MATCH($A90,lunar_ref!$A:$A,0)),"")</f>
        <v/>
      </c>
      <c r="D90" s="0">
        <f>IFERROR(INDEX(lunar_ref!$C:$C,MATCH($A90,lunar_ref!$A:$A,0)),"")</f>
        <v/>
      </c>
      <c r="E90" s="0">
        <f>_xlfn.XLOOKUP($D90,lookup!$A:$A,lookup!$B:$B)</f>
        <v/>
      </c>
      <c r="F90" s="0">
        <f>IF($E90=1,"New",IF($E90=15,"Full",""))</f>
        <v/>
      </c>
      <c r="H90" s="0">
        <f>IF($E90="","",IF(OR($E90=8,$E90=14,$E90=15,$E90=23,$E91=1,$E92=1),"Fast day",""))</f>
        <v/>
      </c>
      <c r="I90" s="0">
        <f>IFERROR(INDEX(lookup!$E:$E,MATCH($C90,lookup!$D:$D,0)),"")</f>
        <v/>
      </c>
      <c r="J90" s="0">
        <f>IF($I90="","",IF(OR($I90=1,$I90=5,$I90=9),IF($K90="","Long fast month","Long fast month (LEAP)"),""))</f>
        <v/>
      </c>
      <c r="K90" s="0">
        <f>IFERROR(IF(INDEX(lookup!$G:$G,MATCH($C90,lookup!$D:$D,0))="LEAP","LEAP MONTH - counts as month "&amp;$I90&amp;", flagged for review",""),"")</f>
        <v/>
      </c>
    </row>
    <row r="91">
      <c r="A91" s="12">
        <f>A90+1</f>
        <v/>
      </c>
      <c r="B91" s="0">
        <f>TEXT(A91,"ddd")</f>
        <v/>
      </c>
      <c r="C91" s="0">
        <f>IFERROR(INDEX(lunar_ref!$B:$B,MATCH($A91,lunar_ref!$A:$A,0)),"")</f>
        <v/>
      </c>
      <c r="D91" s="0">
        <f>IFERROR(INDEX(lunar_ref!$C:$C,MATCH($A91,lunar_ref!$A:$A,0)),"")</f>
        <v/>
      </c>
      <c r="E91" s="0">
        <f>_xlfn.XLOOKUP($D91,lookup!$A:$A,lookup!$B:$B)</f>
        <v/>
      </c>
      <c r="F91" s="0">
        <f>IF($E91=1,"New",IF($E91=15,"Full",""))</f>
        <v/>
      </c>
      <c r="H91" s="0">
        <f>IF($E91="","",IF(OR($E91=8,$E91=14,$E91=15,$E91=23,$E92=1,$E93=1),"Fast day",""))</f>
        <v/>
      </c>
      <c r="I91" s="0">
        <f>IFERROR(INDEX(lookup!$E:$E,MATCH($C91,lookup!$D:$D,0)),"")</f>
        <v/>
      </c>
      <c r="J91" s="0">
        <f>IF($I91="","",IF(OR($I91=1,$I91=5,$I91=9),IF($K91="","Long fast month","Long fast month (LEAP)"),""))</f>
        <v/>
      </c>
      <c r="K91" s="0">
        <f>IFERROR(IF(INDEX(lookup!$G:$G,MATCH($C91,lookup!$D:$D,0))="LEAP","LEAP MONTH - counts as month "&amp;$I91&amp;", flagged for review",""),"")</f>
        <v/>
      </c>
    </row>
    <row r="92">
      <c r="A92" s="12">
        <f>A91+1</f>
        <v/>
      </c>
      <c r="B92" s="0">
        <f>TEXT(A92,"ddd")</f>
        <v/>
      </c>
      <c r="C92" s="0">
        <f>IFERROR(INDEX(lunar_ref!$B:$B,MATCH($A92,lunar_ref!$A:$A,0)),"")</f>
        <v/>
      </c>
      <c r="D92" s="0">
        <f>IFERROR(INDEX(lunar_ref!$C:$C,MATCH($A92,lunar_ref!$A:$A,0)),"")</f>
        <v/>
      </c>
      <c r="E92" s="0">
        <f>_xlfn.XLOOKUP($D92,lookup!$A:$A,lookup!$B:$B)</f>
        <v/>
      </c>
      <c r="F92" s="0">
        <f>IF($E92=1,"New",IF($E92=15,"Full",""))</f>
        <v/>
      </c>
      <c r="H92" s="0">
        <f>IF($E92="","",IF(OR($E92=8,$E92=14,$E92=15,$E92=23,$E93=1,$E94=1),"Fast day",""))</f>
        <v/>
      </c>
      <c r="I92" s="0">
        <f>IFERROR(INDEX(lookup!$E:$E,MATCH($C92,lookup!$D:$D,0)),"")</f>
        <v/>
      </c>
      <c r="J92" s="0">
        <f>IF($I92="","",IF(OR($I92=1,$I92=5,$I92=9),IF($K92="","Long fast month","Long fast month (LEAP)"),""))</f>
        <v/>
      </c>
      <c r="K92" s="0">
        <f>IFERROR(IF(INDEX(lookup!$G:$G,MATCH($C92,lookup!$D:$D,0))="LEAP","LEAP MONTH - counts as month "&amp;$I92&amp;", flagged for review",""),"")</f>
        <v/>
      </c>
    </row>
    <row r="93">
      <c r="A93" s="12">
        <f>A92+1</f>
        <v/>
      </c>
      <c r="B93" s="0">
        <f>TEXT(A93,"ddd")</f>
        <v/>
      </c>
      <c r="C93" s="0">
        <f>IFERROR(INDEX(lunar_ref!$B:$B,MATCH($A93,lunar_ref!$A:$A,0)),"")</f>
        <v/>
      </c>
      <c r="D93" s="0">
        <f>IFERROR(INDEX(lunar_ref!$C:$C,MATCH($A93,lunar_ref!$A:$A,0)),"")</f>
        <v/>
      </c>
      <c r="E93" s="0">
        <f>_xlfn.XLOOKUP($D93,lookup!$A:$A,lookup!$B:$B)</f>
        <v/>
      </c>
      <c r="F93" s="0">
        <f>IF($E93=1,"New",IF($E93=15,"Full",""))</f>
        <v/>
      </c>
      <c r="H93" s="0">
        <f>IF($E93="","",IF(OR($E93=8,$E93=14,$E93=15,$E93=23,$E94=1,$E95=1),"Fast day",""))</f>
        <v/>
      </c>
      <c r="I93" s="0">
        <f>IFERROR(INDEX(lookup!$E:$E,MATCH($C93,lookup!$D:$D,0)),"")</f>
        <v/>
      </c>
      <c r="J93" s="0">
        <f>IF($I93="","",IF(OR($I93=1,$I93=5,$I93=9),IF($K93="","Long fast month","Long fast month (LEAP)"),""))</f>
        <v/>
      </c>
      <c r="K93" s="0">
        <f>IFERROR(IF(INDEX(lookup!$G:$G,MATCH($C93,lookup!$D:$D,0))="LEAP","LEAP MONTH - counts as month "&amp;$I93&amp;", flagged for review",""),"")</f>
        <v/>
      </c>
    </row>
    <row r="94">
      <c r="A94" s="12">
        <f>A93+1</f>
        <v/>
      </c>
      <c r="B94" s="0">
        <f>TEXT(A94,"ddd")</f>
        <v/>
      </c>
      <c r="C94" s="0">
        <f>IFERROR(INDEX(lunar_ref!$B:$B,MATCH($A94,lunar_ref!$A:$A,0)),"")</f>
        <v/>
      </c>
      <c r="D94" s="0">
        <f>IFERROR(INDEX(lunar_ref!$C:$C,MATCH($A94,lunar_ref!$A:$A,0)),"")</f>
        <v/>
      </c>
      <c r="E94" s="0">
        <f>_xlfn.XLOOKUP($D94,lookup!$A:$A,lookup!$B:$B)</f>
        <v/>
      </c>
      <c r="F94" s="0">
        <f>IF($E94=1,"New",IF($E94=15,"Full",""))</f>
        <v/>
      </c>
      <c r="H94" s="0">
        <f>IF($E94="","",IF(OR($E94=8,$E94=14,$E94=15,$E94=23,$E95=1,$E96=1),"Fast day",""))</f>
        <v/>
      </c>
      <c r="I94" s="0">
        <f>IFERROR(INDEX(lookup!$E:$E,MATCH($C94,lookup!$D:$D,0)),"")</f>
        <v/>
      </c>
      <c r="J94" s="0">
        <f>IF($I94="","",IF(OR($I94=1,$I94=5,$I94=9),IF($K94="","Long fast month","Long fast month (LEAP)"),""))</f>
        <v/>
      </c>
      <c r="K94" s="0">
        <f>IFERROR(IF(INDEX(lookup!$G:$G,MATCH($C94,lookup!$D:$D,0))="LEAP","LEAP MONTH - counts as month "&amp;$I94&amp;", flagged for review",""),"")</f>
        <v/>
      </c>
    </row>
    <row r="95">
      <c r="A95" s="12">
        <f>A94+1</f>
        <v/>
      </c>
      <c r="B95" s="0">
        <f>TEXT(A95,"ddd")</f>
        <v/>
      </c>
      <c r="C95" s="0">
        <f>IFERROR(INDEX(lunar_ref!$B:$B,MATCH($A95,lunar_ref!$A:$A,0)),"")</f>
        <v/>
      </c>
      <c r="D95" s="0">
        <f>IFERROR(INDEX(lunar_ref!$C:$C,MATCH($A95,lunar_ref!$A:$A,0)),"")</f>
        <v/>
      </c>
      <c r="E95" s="0">
        <f>_xlfn.XLOOKUP($D95,lookup!$A:$A,lookup!$B:$B)</f>
        <v/>
      </c>
      <c r="F95" s="0">
        <f>IF($E95=1,"New",IF($E95=15,"Full",""))</f>
        <v/>
      </c>
      <c r="H95" s="0">
        <f>IF($E95="","",IF(OR($E95=8,$E95=14,$E95=15,$E95=23,$E96=1,$E97=1),"Fast day",""))</f>
        <v/>
      </c>
      <c r="I95" s="0">
        <f>IFERROR(INDEX(lookup!$E:$E,MATCH($C95,lookup!$D:$D,0)),"")</f>
        <v/>
      </c>
      <c r="J95" s="0">
        <f>IF($I95="","",IF(OR($I95=1,$I95=5,$I95=9),IF($K95="","Long fast month","Long fast month (LEAP)"),""))</f>
        <v/>
      </c>
      <c r="K95" s="0">
        <f>IFERROR(IF(INDEX(lookup!$G:$G,MATCH($C95,lookup!$D:$D,0))="LEAP","LEAP MONTH - counts as month "&amp;$I95&amp;", flagged for review",""),"")</f>
        <v/>
      </c>
    </row>
    <row r="96">
      <c r="A96" s="12">
        <f>A95+1</f>
        <v/>
      </c>
      <c r="B96" s="0">
        <f>TEXT(A96,"ddd")</f>
        <v/>
      </c>
      <c r="C96" s="0">
        <f>IFERROR(INDEX(lunar_ref!$B:$B,MATCH($A96,lunar_ref!$A:$A,0)),"")</f>
        <v/>
      </c>
      <c r="D96" s="0">
        <f>IFERROR(INDEX(lunar_ref!$C:$C,MATCH($A96,lunar_ref!$A:$A,0)),"")</f>
        <v/>
      </c>
      <c r="E96" s="0">
        <f>_xlfn.XLOOKUP($D96,lookup!$A:$A,lookup!$B:$B)</f>
        <v/>
      </c>
      <c r="F96" s="0">
        <f>IF($E96=1,"New",IF($E96=15,"Full",""))</f>
        <v/>
      </c>
      <c r="H96" s="0">
        <f>IF($E96="","",IF(OR($E96=8,$E96=14,$E96=15,$E96=23,$E97=1,$E98=1),"Fast day",""))</f>
        <v/>
      </c>
      <c r="I96" s="0">
        <f>IFERROR(INDEX(lookup!$E:$E,MATCH($C96,lookup!$D:$D,0)),"")</f>
        <v/>
      </c>
      <c r="J96" s="0">
        <f>IF($I96="","",IF(OR($I96=1,$I96=5,$I96=9),IF($K96="","Long fast month","Long fast month (LEAP)"),""))</f>
        <v/>
      </c>
      <c r="K96" s="0">
        <f>IFERROR(IF(INDEX(lookup!$G:$G,MATCH($C96,lookup!$D:$D,0))="LEAP","LEAP MONTH - counts as month "&amp;$I96&amp;", flagged for review",""),"")</f>
        <v/>
      </c>
    </row>
    <row r="97">
      <c r="A97" s="12">
        <f>A96+1</f>
        <v/>
      </c>
      <c r="B97" s="0">
        <f>TEXT(A97,"ddd")</f>
        <v/>
      </c>
      <c r="C97" s="0">
        <f>IFERROR(INDEX(lunar_ref!$B:$B,MATCH($A97,lunar_ref!$A:$A,0)),"")</f>
        <v/>
      </c>
      <c r="D97" s="0">
        <f>IFERROR(INDEX(lunar_ref!$C:$C,MATCH($A97,lunar_ref!$A:$A,0)),"")</f>
        <v/>
      </c>
      <c r="E97" s="0">
        <f>_xlfn.XLOOKUP($D97,lookup!$A:$A,lookup!$B:$B)</f>
        <v/>
      </c>
      <c r="F97" s="0">
        <f>IF($E97=1,"New",IF($E97=15,"Full",""))</f>
        <v/>
      </c>
      <c r="H97" s="0">
        <f>IF($E97="","",IF(OR($E97=8,$E97=14,$E97=15,$E97=23,$E98=1,$E99=1),"Fast day",""))</f>
        <v/>
      </c>
      <c r="I97" s="0">
        <f>IFERROR(INDEX(lookup!$E:$E,MATCH($C97,lookup!$D:$D,0)),"")</f>
        <v/>
      </c>
      <c r="J97" s="0">
        <f>IF($I97="","",IF(OR($I97=1,$I97=5,$I97=9),IF($K97="","Long fast month","Long fast month (LEAP)"),""))</f>
        <v/>
      </c>
      <c r="K97" s="0">
        <f>IFERROR(IF(INDEX(lookup!$G:$G,MATCH($C97,lookup!$D:$D,0))="LEAP","LEAP MONTH - counts as month "&amp;$I97&amp;", flagged for review",""),"")</f>
        <v/>
      </c>
    </row>
    <row r="98">
      <c r="A98" s="12">
        <f>A97+1</f>
        <v/>
      </c>
      <c r="B98" s="0">
        <f>TEXT(A98,"ddd")</f>
        <v/>
      </c>
      <c r="C98" s="0">
        <f>IFERROR(INDEX(lunar_ref!$B:$B,MATCH($A98,lunar_ref!$A:$A,0)),"")</f>
        <v/>
      </c>
      <c r="D98" s="0">
        <f>IFERROR(INDEX(lunar_ref!$C:$C,MATCH($A98,lunar_ref!$A:$A,0)),"")</f>
        <v/>
      </c>
      <c r="E98" s="0">
        <f>_xlfn.XLOOKUP($D98,lookup!$A:$A,lookup!$B:$B)</f>
        <v/>
      </c>
      <c r="F98" s="0">
        <f>IF($E98=1,"New",IF($E98=15,"Full",""))</f>
        <v/>
      </c>
      <c r="H98" s="0">
        <f>IF($E98="","",IF(OR($E98=8,$E98=14,$E98=15,$E98=23,$E99=1,$E100=1),"Fast day",""))</f>
        <v/>
      </c>
      <c r="I98" s="0">
        <f>IFERROR(INDEX(lookup!$E:$E,MATCH($C98,lookup!$D:$D,0)),"")</f>
        <v/>
      </c>
      <c r="J98" s="0">
        <f>IF($I98="","",IF(OR($I98=1,$I98=5,$I98=9),IF($K98="","Long fast month","Long fast month (LEAP)"),""))</f>
        <v/>
      </c>
      <c r="K98" s="0">
        <f>IFERROR(IF(INDEX(lookup!$G:$G,MATCH($C98,lookup!$D:$D,0))="LEAP","LEAP MONTH - counts as month "&amp;$I98&amp;", flagged for review",""),"")</f>
        <v/>
      </c>
    </row>
    <row r="99">
      <c r="A99" s="12">
        <f>A98+1</f>
        <v/>
      </c>
      <c r="B99" s="0">
        <f>TEXT(A99,"ddd")</f>
        <v/>
      </c>
      <c r="C99" s="0">
        <f>IFERROR(INDEX(lunar_ref!$B:$B,MATCH($A99,lunar_ref!$A:$A,0)),"")</f>
        <v/>
      </c>
      <c r="D99" s="0">
        <f>IFERROR(INDEX(lunar_ref!$C:$C,MATCH($A99,lunar_ref!$A:$A,0)),"")</f>
        <v/>
      </c>
      <c r="E99" s="0">
        <f>_xlfn.XLOOKUP($D99,lookup!$A:$A,lookup!$B:$B)</f>
        <v/>
      </c>
      <c r="F99" s="0">
        <f>IF($E99=1,"New",IF($E99=15,"Full",""))</f>
        <v/>
      </c>
      <c r="H99" s="0">
        <f>IF($E99="","",IF(OR($E99=8,$E99=14,$E99=15,$E99=23,$E100=1,$E101=1),"Fast day",""))</f>
        <v/>
      </c>
      <c r="I99" s="0">
        <f>IFERROR(INDEX(lookup!$E:$E,MATCH($C99,lookup!$D:$D,0)),"")</f>
        <v/>
      </c>
      <c r="J99" s="0">
        <f>IF($I99="","",IF(OR($I99=1,$I99=5,$I99=9),IF($K99="","Long fast month","Long fast month (LEAP)"),""))</f>
        <v/>
      </c>
      <c r="K99" s="0">
        <f>IFERROR(IF(INDEX(lookup!$G:$G,MATCH($C99,lookup!$D:$D,0))="LEAP","LEAP MONTH - counts as month "&amp;$I99&amp;", flagged for review",""),"")</f>
        <v/>
      </c>
    </row>
    <row r="100">
      <c r="A100" s="12">
        <f>A99+1</f>
        <v/>
      </c>
      <c r="B100" s="0">
        <f>TEXT(A100,"ddd")</f>
        <v/>
      </c>
      <c r="C100" s="0">
        <f>IFERROR(INDEX(lunar_ref!$B:$B,MATCH($A100,lunar_ref!$A:$A,0)),"")</f>
        <v/>
      </c>
      <c r="D100" s="0">
        <f>IFERROR(INDEX(lunar_ref!$C:$C,MATCH($A100,lunar_ref!$A:$A,0)),"")</f>
        <v/>
      </c>
      <c r="E100" s="0">
        <f>_xlfn.XLOOKUP($D100,lookup!$A:$A,lookup!$B:$B)</f>
        <v/>
      </c>
      <c r="F100" s="0">
        <f>IF($E100=1,"New",IF($E100=15,"Full",""))</f>
        <v/>
      </c>
      <c r="H100" s="0">
        <f>IF($E100="","",IF(OR($E100=8,$E100=14,$E100=15,$E100=23,$E101=1,$E102=1),"Fast day",""))</f>
        <v/>
      </c>
      <c r="I100" s="0">
        <f>IFERROR(INDEX(lookup!$E:$E,MATCH($C100,lookup!$D:$D,0)),"")</f>
        <v/>
      </c>
      <c r="J100" s="0">
        <f>IF($I100="","",IF(OR($I100=1,$I100=5,$I100=9),IF($K100="","Long fast month","Long fast month (LEAP)"),""))</f>
        <v/>
      </c>
      <c r="K100" s="0">
        <f>IFERROR(IF(INDEX(lookup!$G:$G,MATCH($C100,lookup!$D:$D,0))="LEAP","LEAP MONTH - counts as month "&amp;$I100&amp;", flagged for review",""),"")</f>
        <v/>
      </c>
    </row>
    <row r="101">
      <c r="A101" s="12">
        <f>A100+1</f>
        <v/>
      </c>
      <c r="B101" s="0">
        <f>TEXT(A101,"ddd")</f>
        <v/>
      </c>
      <c r="C101" s="0">
        <f>IFERROR(INDEX(lunar_ref!$B:$B,MATCH($A101,lunar_ref!$A:$A,0)),"")</f>
        <v/>
      </c>
      <c r="D101" s="0">
        <f>IFERROR(INDEX(lunar_ref!$C:$C,MATCH($A101,lunar_ref!$A:$A,0)),"")</f>
        <v/>
      </c>
      <c r="E101" s="0">
        <f>_xlfn.XLOOKUP($D101,lookup!$A:$A,lookup!$B:$B)</f>
        <v/>
      </c>
      <c r="F101" s="0">
        <f>IF($E101=1,"New",IF($E101=15,"Full",""))</f>
        <v/>
      </c>
      <c r="H101" s="0">
        <f>IF($E101="","",IF(OR($E101=8,$E101=14,$E101=15,$E101=23,$E102=1,$E103=1),"Fast day",""))</f>
        <v/>
      </c>
      <c r="I101" s="0">
        <f>IFERROR(INDEX(lookup!$E:$E,MATCH($C101,lookup!$D:$D,0)),"")</f>
        <v/>
      </c>
      <c r="J101" s="0">
        <f>IF($I101="","",IF(OR($I101=1,$I101=5,$I101=9),IF($K101="","Long fast month","Long fast month (LEAP)"),""))</f>
        <v/>
      </c>
      <c r="K101" s="0">
        <f>IFERROR(IF(INDEX(lookup!$G:$G,MATCH($C101,lookup!$D:$D,0))="LEAP","LEAP MONTH - counts as month "&amp;$I101&amp;", flagged for review",""),"")</f>
        <v/>
      </c>
    </row>
    <row r="102">
      <c r="A102" s="12">
        <f>A101+1</f>
        <v/>
      </c>
      <c r="B102" s="0">
        <f>TEXT(A102,"ddd")</f>
        <v/>
      </c>
      <c r="C102" s="0">
        <f>IFERROR(INDEX(lunar_ref!$B:$B,MATCH($A102,lunar_ref!$A:$A,0)),"")</f>
        <v/>
      </c>
      <c r="D102" s="0">
        <f>IFERROR(INDEX(lunar_ref!$C:$C,MATCH($A102,lunar_ref!$A:$A,0)),"")</f>
        <v/>
      </c>
      <c r="E102" s="0">
        <f>_xlfn.XLOOKUP($D102,lookup!$A:$A,lookup!$B:$B)</f>
        <v/>
      </c>
      <c r="F102" s="0">
        <f>IF($E102=1,"New",IF($E102=15,"Full",""))</f>
        <v/>
      </c>
      <c r="H102" s="0">
        <f>IF($E102="","",IF(OR($E102=8,$E102=14,$E102=15,$E102=23,$E103=1,$E104=1),"Fast day",""))</f>
        <v/>
      </c>
      <c r="I102" s="0">
        <f>IFERROR(INDEX(lookup!$E:$E,MATCH($C102,lookup!$D:$D,0)),"")</f>
        <v/>
      </c>
      <c r="J102" s="0">
        <f>IF($I102="","",IF(OR($I102=1,$I102=5,$I102=9),IF($K102="","Long fast month","Long fast month (LEAP)"),""))</f>
        <v/>
      </c>
      <c r="K102" s="0">
        <f>IFERROR(IF(INDEX(lookup!$G:$G,MATCH($C102,lookup!$D:$D,0))="LEAP","LEAP MONTH - counts as month "&amp;$I102&amp;", flagged for review",""),"")</f>
        <v/>
      </c>
    </row>
    <row r="103">
      <c r="A103" s="12">
        <f>A102+1</f>
        <v/>
      </c>
      <c r="B103" s="0">
        <f>TEXT(A103,"ddd")</f>
        <v/>
      </c>
      <c r="C103" s="0">
        <f>IFERROR(INDEX(lunar_ref!$B:$B,MATCH($A103,lunar_ref!$A:$A,0)),"")</f>
        <v/>
      </c>
      <c r="D103" s="0">
        <f>IFERROR(INDEX(lunar_ref!$C:$C,MATCH($A103,lunar_ref!$A:$A,0)),"")</f>
        <v/>
      </c>
      <c r="E103" s="0">
        <f>_xlfn.XLOOKUP($D103,lookup!$A:$A,lookup!$B:$B)</f>
        <v/>
      </c>
      <c r="F103" s="0">
        <f>IF($E103=1,"New",IF($E103=15,"Full",""))</f>
        <v/>
      </c>
      <c r="H103" s="0">
        <f>IF($E103="","",IF(OR($E103=8,$E103=14,$E103=15,$E103=23,$E104=1,$E105=1),"Fast day",""))</f>
        <v/>
      </c>
      <c r="I103" s="0">
        <f>IFERROR(INDEX(lookup!$E:$E,MATCH($C103,lookup!$D:$D,0)),"")</f>
        <v/>
      </c>
      <c r="J103" s="0">
        <f>IF($I103="","",IF(OR($I103=1,$I103=5,$I103=9),IF($K103="","Long fast month","Long fast month (LEAP)"),""))</f>
        <v/>
      </c>
      <c r="K103" s="0">
        <f>IFERROR(IF(INDEX(lookup!$G:$G,MATCH($C103,lookup!$D:$D,0))="LEAP","LEAP MONTH - counts as month "&amp;$I103&amp;", flagged for review",""),"")</f>
        <v/>
      </c>
    </row>
    <row r="104">
      <c r="A104" s="12">
        <f>A103+1</f>
        <v/>
      </c>
      <c r="B104" s="0">
        <f>TEXT(A104,"ddd")</f>
        <v/>
      </c>
      <c r="C104" s="0">
        <f>IFERROR(INDEX(lunar_ref!$B:$B,MATCH($A104,lunar_ref!$A:$A,0)),"")</f>
        <v/>
      </c>
      <c r="D104" s="0">
        <f>IFERROR(INDEX(lunar_ref!$C:$C,MATCH($A104,lunar_ref!$A:$A,0)),"")</f>
        <v/>
      </c>
      <c r="E104" s="0">
        <f>_xlfn.XLOOKUP($D104,lookup!$A:$A,lookup!$B:$B)</f>
        <v/>
      </c>
      <c r="F104" s="0">
        <f>IF($E104=1,"New",IF($E104=15,"Full",""))</f>
        <v/>
      </c>
      <c r="H104" s="0">
        <f>IF($E104="","",IF(OR($E104=8,$E104=14,$E104=15,$E104=23,$E105=1,$E106=1),"Fast day",""))</f>
        <v/>
      </c>
      <c r="I104" s="0">
        <f>IFERROR(INDEX(lookup!$E:$E,MATCH($C104,lookup!$D:$D,0)),"")</f>
        <v/>
      </c>
      <c r="J104" s="0">
        <f>IF($I104="","",IF(OR($I104=1,$I104=5,$I104=9),IF($K104="","Long fast month","Long fast month (LEAP)"),""))</f>
        <v/>
      </c>
      <c r="K104" s="0">
        <f>IFERROR(IF(INDEX(lookup!$G:$G,MATCH($C104,lookup!$D:$D,0))="LEAP","LEAP MONTH - counts as month "&amp;$I104&amp;", flagged for review",""),"")</f>
        <v/>
      </c>
    </row>
    <row r="105">
      <c r="A105" s="12">
        <f>A104+1</f>
        <v/>
      </c>
      <c r="B105" s="0">
        <f>TEXT(A105,"ddd")</f>
        <v/>
      </c>
      <c r="C105" s="0">
        <f>IFERROR(INDEX(lunar_ref!$B:$B,MATCH($A105,lunar_ref!$A:$A,0)),"")</f>
        <v/>
      </c>
      <c r="D105" s="0">
        <f>IFERROR(INDEX(lunar_ref!$C:$C,MATCH($A105,lunar_ref!$A:$A,0)),"")</f>
        <v/>
      </c>
      <c r="E105" s="0">
        <f>_xlfn.XLOOKUP($D105,lookup!$A:$A,lookup!$B:$B)</f>
        <v/>
      </c>
      <c r="F105" s="0">
        <f>IF($E105=1,"New",IF($E105=15,"Full",""))</f>
        <v/>
      </c>
      <c r="H105" s="0">
        <f>IF($E105="","",IF(OR($E105=8,$E105=14,$E105=15,$E105=23,$E106=1,$E107=1),"Fast day",""))</f>
        <v/>
      </c>
      <c r="I105" s="0">
        <f>IFERROR(INDEX(lookup!$E:$E,MATCH($C105,lookup!$D:$D,0)),"")</f>
        <v/>
      </c>
      <c r="J105" s="0">
        <f>IF($I105="","",IF(OR($I105=1,$I105=5,$I105=9),IF($K105="","Long fast month","Long fast month (LEAP)"),""))</f>
        <v/>
      </c>
      <c r="K105" s="0">
        <f>IFERROR(IF(INDEX(lookup!$G:$G,MATCH($C105,lookup!$D:$D,0))="LEAP","LEAP MONTH - counts as month "&amp;$I105&amp;", flagged for review",""),"")</f>
        <v/>
      </c>
    </row>
    <row r="106">
      <c r="A106" s="12">
        <f>A105+1</f>
        <v/>
      </c>
      <c r="B106" s="0">
        <f>TEXT(A106,"ddd")</f>
        <v/>
      </c>
      <c r="C106" s="0">
        <f>IFERROR(INDEX(lunar_ref!$B:$B,MATCH($A106,lunar_ref!$A:$A,0)),"")</f>
        <v/>
      </c>
      <c r="D106" s="0">
        <f>IFERROR(INDEX(lunar_ref!$C:$C,MATCH($A106,lunar_ref!$A:$A,0)),"")</f>
        <v/>
      </c>
      <c r="E106" s="0">
        <f>_xlfn.XLOOKUP($D106,lookup!$A:$A,lookup!$B:$B)</f>
        <v/>
      </c>
      <c r="F106" s="0">
        <f>IF($E106=1,"New",IF($E106=15,"Full",""))</f>
        <v/>
      </c>
      <c r="H106" s="0">
        <f>IF($E106="","",IF(OR($E106=8,$E106=14,$E106=15,$E106=23,$E107=1,$E108=1),"Fast day",""))</f>
        <v/>
      </c>
      <c r="I106" s="0">
        <f>IFERROR(INDEX(lookup!$E:$E,MATCH($C106,lookup!$D:$D,0)),"")</f>
        <v/>
      </c>
      <c r="J106" s="0">
        <f>IF($I106="","",IF(OR($I106=1,$I106=5,$I106=9),IF($K106="","Long fast month","Long fast month (LEAP)"),""))</f>
        <v/>
      </c>
      <c r="K106" s="0">
        <f>IFERROR(IF(INDEX(lookup!$G:$G,MATCH($C106,lookup!$D:$D,0))="LEAP","LEAP MONTH - counts as month "&amp;$I106&amp;", flagged for review",""),"")</f>
        <v/>
      </c>
    </row>
    <row r="107">
      <c r="A107" s="12">
        <f>A106+1</f>
        <v/>
      </c>
      <c r="B107" s="0">
        <f>TEXT(A107,"ddd")</f>
        <v/>
      </c>
      <c r="C107" s="0">
        <f>IFERROR(INDEX(lunar_ref!$B:$B,MATCH($A107,lunar_ref!$A:$A,0)),"")</f>
        <v/>
      </c>
      <c r="D107" s="0">
        <f>IFERROR(INDEX(lunar_ref!$C:$C,MATCH($A107,lunar_ref!$A:$A,0)),"")</f>
        <v/>
      </c>
      <c r="E107" s="0">
        <f>_xlfn.XLOOKUP($D107,lookup!$A:$A,lookup!$B:$B)</f>
        <v/>
      </c>
      <c r="F107" s="0">
        <f>IF($E107=1,"New",IF($E107=15,"Full",""))</f>
        <v/>
      </c>
      <c r="H107" s="0">
        <f>IF($E107="","",IF(OR($E107=8,$E107=14,$E107=15,$E107=23,$E108=1,$E109=1),"Fast day",""))</f>
        <v/>
      </c>
      <c r="I107" s="0">
        <f>IFERROR(INDEX(lookup!$E:$E,MATCH($C107,lookup!$D:$D,0)),"")</f>
        <v/>
      </c>
      <c r="J107" s="0">
        <f>IF($I107="","",IF(OR($I107=1,$I107=5,$I107=9),IF($K107="","Long fast month","Long fast month (LEAP)"),""))</f>
        <v/>
      </c>
      <c r="K107" s="0">
        <f>IFERROR(IF(INDEX(lookup!$G:$G,MATCH($C107,lookup!$D:$D,0))="LEAP","LEAP MONTH - counts as month "&amp;$I107&amp;", flagged for review",""),"")</f>
        <v/>
      </c>
    </row>
    <row r="108">
      <c r="A108" s="12">
        <f>A107+1</f>
        <v/>
      </c>
      <c r="B108" s="0">
        <f>TEXT(A108,"ddd")</f>
        <v/>
      </c>
      <c r="C108" s="0">
        <f>IFERROR(INDEX(lunar_ref!$B:$B,MATCH($A108,lunar_ref!$A:$A,0)),"")</f>
        <v/>
      </c>
      <c r="D108" s="0">
        <f>IFERROR(INDEX(lunar_ref!$C:$C,MATCH($A108,lunar_ref!$A:$A,0)),"")</f>
        <v/>
      </c>
      <c r="E108" s="0">
        <f>_xlfn.XLOOKUP($D108,lookup!$A:$A,lookup!$B:$B)</f>
        <v/>
      </c>
      <c r="F108" s="0">
        <f>IF($E108=1,"New",IF($E108=15,"Full",""))</f>
        <v/>
      </c>
      <c r="H108" s="0">
        <f>IF($E108="","",IF(OR($E108=8,$E108=14,$E108=15,$E108=23,$E109=1,$E110=1),"Fast day",""))</f>
        <v/>
      </c>
      <c r="I108" s="0">
        <f>IFERROR(INDEX(lookup!$E:$E,MATCH($C108,lookup!$D:$D,0)),"")</f>
        <v/>
      </c>
      <c r="J108" s="0">
        <f>IF($I108="","",IF(OR($I108=1,$I108=5,$I108=9),IF($K108="","Long fast month","Long fast month (LEAP)"),""))</f>
        <v/>
      </c>
      <c r="K108" s="0">
        <f>IFERROR(IF(INDEX(lookup!$G:$G,MATCH($C108,lookup!$D:$D,0))="LEAP","LEAP MONTH - counts as month "&amp;$I108&amp;", flagged for review",""),"")</f>
        <v/>
      </c>
    </row>
    <row r="109">
      <c r="A109" s="12">
        <f>A108+1</f>
        <v/>
      </c>
      <c r="B109" s="0">
        <f>TEXT(A109,"ddd")</f>
        <v/>
      </c>
      <c r="C109" s="0">
        <f>IFERROR(INDEX(lunar_ref!$B:$B,MATCH($A109,lunar_ref!$A:$A,0)),"")</f>
        <v/>
      </c>
      <c r="D109" s="0">
        <f>IFERROR(INDEX(lunar_ref!$C:$C,MATCH($A109,lunar_ref!$A:$A,0)),"")</f>
        <v/>
      </c>
      <c r="E109" s="0">
        <f>_xlfn.XLOOKUP($D109,lookup!$A:$A,lookup!$B:$B)</f>
        <v/>
      </c>
      <c r="F109" s="0">
        <f>IF($E109=1,"New",IF($E109=15,"Full",""))</f>
        <v/>
      </c>
      <c r="H109" s="0">
        <f>IF($E109="","",IF(OR($E109=8,$E109=14,$E109=15,$E109=23,$E110=1,$E111=1),"Fast day",""))</f>
        <v/>
      </c>
      <c r="I109" s="0">
        <f>IFERROR(INDEX(lookup!$E:$E,MATCH($C109,lookup!$D:$D,0)),"")</f>
        <v/>
      </c>
      <c r="J109" s="0">
        <f>IF($I109="","",IF(OR($I109=1,$I109=5,$I109=9),IF($K109="","Long fast month","Long fast month (LEAP)"),""))</f>
        <v/>
      </c>
      <c r="K109" s="0">
        <f>IFERROR(IF(INDEX(lookup!$G:$G,MATCH($C109,lookup!$D:$D,0))="LEAP","LEAP MONTH - counts as month "&amp;$I109&amp;", flagged for review",""),"")</f>
        <v/>
      </c>
    </row>
    <row r="110">
      <c r="A110" s="12">
        <f>A109+1</f>
        <v/>
      </c>
      <c r="B110" s="0">
        <f>TEXT(A110,"ddd")</f>
        <v/>
      </c>
      <c r="C110" s="0">
        <f>IFERROR(INDEX(lunar_ref!$B:$B,MATCH($A110,lunar_ref!$A:$A,0)),"")</f>
        <v/>
      </c>
      <c r="D110" s="0">
        <f>IFERROR(INDEX(lunar_ref!$C:$C,MATCH($A110,lunar_ref!$A:$A,0)),"")</f>
        <v/>
      </c>
      <c r="E110" s="0">
        <f>_xlfn.XLOOKUP($D110,lookup!$A:$A,lookup!$B:$B)</f>
        <v/>
      </c>
      <c r="F110" s="0">
        <f>IF($E110=1,"New",IF($E110=15,"Full",""))</f>
        <v/>
      </c>
      <c r="H110" s="0">
        <f>IF($E110="","",IF(OR($E110=8,$E110=14,$E110=15,$E110=23,$E111=1,$E112=1),"Fast day",""))</f>
        <v/>
      </c>
      <c r="I110" s="0">
        <f>IFERROR(INDEX(lookup!$E:$E,MATCH($C110,lookup!$D:$D,0)),"")</f>
        <v/>
      </c>
      <c r="J110" s="0">
        <f>IF($I110="","",IF(OR($I110=1,$I110=5,$I110=9),IF($K110="","Long fast month","Long fast month (LEAP)"),""))</f>
        <v/>
      </c>
      <c r="K110" s="0">
        <f>IFERROR(IF(INDEX(lookup!$G:$G,MATCH($C110,lookup!$D:$D,0))="LEAP","LEAP MONTH - counts as month "&amp;$I110&amp;", flagged for review",""),"")</f>
        <v/>
      </c>
    </row>
    <row r="111">
      <c r="A111" s="12">
        <f>A110+1</f>
        <v/>
      </c>
      <c r="B111" s="0">
        <f>TEXT(A111,"ddd")</f>
        <v/>
      </c>
      <c r="C111" s="0">
        <f>IFERROR(INDEX(lunar_ref!$B:$B,MATCH($A111,lunar_ref!$A:$A,0)),"")</f>
        <v/>
      </c>
      <c r="D111" s="0">
        <f>IFERROR(INDEX(lunar_ref!$C:$C,MATCH($A111,lunar_ref!$A:$A,0)),"")</f>
        <v/>
      </c>
      <c r="E111" s="0">
        <f>_xlfn.XLOOKUP($D111,lookup!$A:$A,lookup!$B:$B)</f>
        <v/>
      </c>
      <c r="F111" s="0">
        <f>IF($E111=1,"New",IF($E111=15,"Full",""))</f>
        <v/>
      </c>
      <c r="H111" s="0">
        <f>IF($E111="","",IF(OR($E111=8,$E111=14,$E111=15,$E111=23,$E112=1,$E113=1),"Fast day",""))</f>
        <v/>
      </c>
      <c r="I111" s="0">
        <f>IFERROR(INDEX(lookup!$E:$E,MATCH($C111,lookup!$D:$D,0)),"")</f>
        <v/>
      </c>
      <c r="J111" s="0">
        <f>IF($I111="","",IF(OR($I111=1,$I111=5,$I111=9),IF($K111="","Long fast month","Long fast month (LEAP)"),""))</f>
        <v/>
      </c>
      <c r="K111" s="0">
        <f>IFERROR(IF(INDEX(lookup!$G:$G,MATCH($C111,lookup!$D:$D,0))="LEAP","LEAP MONTH - counts as month "&amp;$I111&amp;", flagged for review",""),"")</f>
        <v/>
      </c>
    </row>
    <row r="112">
      <c r="A112" s="12">
        <f>A111+1</f>
        <v/>
      </c>
      <c r="B112" s="0">
        <f>TEXT(A112,"ddd")</f>
        <v/>
      </c>
      <c r="C112" s="0">
        <f>IFERROR(INDEX(lunar_ref!$B:$B,MATCH($A112,lunar_ref!$A:$A,0)),"")</f>
        <v/>
      </c>
      <c r="D112" s="0">
        <f>IFERROR(INDEX(lunar_ref!$C:$C,MATCH($A112,lunar_ref!$A:$A,0)),"")</f>
        <v/>
      </c>
      <c r="E112" s="0">
        <f>_xlfn.XLOOKUP($D112,lookup!$A:$A,lookup!$B:$B)</f>
        <v/>
      </c>
      <c r="F112" s="0">
        <f>IF($E112=1,"New",IF($E112=15,"Full",""))</f>
        <v/>
      </c>
      <c r="H112" s="0">
        <f>IF($E112="","",IF(OR($E112=8,$E112=14,$E112=15,$E112=23,$E113=1,$E114=1),"Fast day",""))</f>
        <v/>
      </c>
      <c r="I112" s="0">
        <f>IFERROR(INDEX(lookup!$E:$E,MATCH($C112,lookup!$D:$D,0)),"")</f>
        <v/>
      </c>
      <c r="J112" s="0">
        <f>IF($I112="","",IF(OR($I112=1,$I112=5,$I112=9),IF($K112="","Long fast month","Long fast month (LEAP)"),""))</f>
        <v/>
      </c>
      <c r="K112" s="0">
        <f>IFERROR(IF(INDEX(lookup!$G:$G,MATCH($C112,lookup!$D:$D,0))="LEAP","LEAP MONTH - counts as month "&amp;$I112&amp;", flagged for review",""),"")</f>
        <v/>
      </c>
    </row>
    <row r="113">
      <c r="A113" s="12">
        <f>A112+1</f>
        <v/>
      </c>
      <c r="B113" s="0">
        <f>TEXT(A113,"ddd")</f>
        <v/>
      </c>
      <c r="C113" s="0">
        <f>IFERROR(INDEX(lunar_ref!$B:$B,MATCH($A113,lunar_ref!$A:$A,0)),"")</f>
        <v/>
      </c>
      <c r="D113" s="0">
        <f>IFERROR(INDEX(lunar_ref!$C:$C,MATCH($A113,lunar_ref!$A:$A,0)),"")</f>
        <v/>
      </c>
      <c r="E113" s="0">
        <f>_xlfn.XLOOKUP($D113,lookup!$A:$A,lookup!$B:$B)</f>
        <v/>
      </c>
      <c r="F113" s="0">
        <f>IF($E113=1,"New",IF($E113=15,"Full",""))</f>
        <v/>
      </c>
      <c r="H113" s="0">
        <f>IF($E113="","",IF(OR($E113=8,$E113=14,$E113=15,$E113=23,$E114=1,$E115=1),"Fast day",""))</f>
        <v/>
      </c>
      <c r="I113" s="0">
        <f>IFERROR(INDEX(lookup!$E:$E,MATCH($C113,lookup!$D:$D,0)),"")</f>
        <v/>
      </c>
      <c r="J113" s="0">
        <f>IF($I113="","",IF(OR($I113=1,$I113=5,$I113=9),IF($K113="","Long fast month","Long fast month (LEAP)"),""))</f>
        <v/>
      </c>
      <c r="K113" s="0">
        <f>IFERROR(IF(INDEX(lookup!$G:$G,MATCH($C113,lookup!$D:$D,0))="LEAP","LEAP MONTH - counts as month "&amp;$I113&amp;", flagged for review",""),"")</f>
        <v/>
      </c>
    </row>
    <row r="114">
      <c r="A114" s="12">
        <f>A113+1</f>
        <v/>
      </c>
      <c r="B114" s="0">
        <f>TEXT(A114,"ddd")</f>
        <v/>
      </c>
      <c r="C114" s="0">
        <f>IFERROR(INDEX(lunar_ref!$B:$B,MATCH($A114,lunar_ref!$A:$A,0)),"")</f>
        <v/>
      </c>
      <c r="D114" s="0">
        <f>IFERROR(INDEX(lunar_ref!$C:$C,MATCH($A114,lunar_ref!$A:$A,0)),"")</f>
        <v/>
      </c>
      <c r="E114" s="0">
        <f>_xlfn.XLOOKUP($D114,lookup!$A:$A,lookup!$B:$B)</f>
        <v/>
      </c>
      <c r="F114" s="0">
        <f>IF($E114=1,"New",IF($E114=15,"Full",""))</f>
        <v/>
      </c>
      <c r="H114" s="0">
        <f>IF($E114="","",IF(OR($E114=8,$E114=14,$E114=15,$E114=23,$E115=1,$E116=1),"Fast day",""))</f>
        <v/>
      </c>
      <c r="I114" s="0">
        <f>IFERROR(INDEX(lookup!$E:$E,MATCH($C114,lookup!$D:$D,0)),"")</f>
        <v/>
      </c>
      <c r="J114" s="0">
        <f>IF($I114="","",IF(OR($I114=1,$I114=5,$I114=9),IF($K114="","Long fast month","Long fast month (LEAP)"),""))</f>
        <v/>
      </c>
      <c r="K114" s="0">
        <f>IFERROR(IF(INDEX(lookup!$G:$G,MATCH($C114,lookup!$D:$D,0))="LEAP","LEAP MONTH - counts as month "&amp;$I114&amp;", flagged for review",""),"")</f>
        <v/>
      </c>
    </row>
    <row r="115">
      <c r="A115" s="12">
        <f>A114+1</f>
        <v/>
      </c>
      <c r="B115" s="0">
        <f>TEXT(A115,"ddd")</f>
        <v/>
      </c>
      <c r="C115" s="0">
        <f>IFERROR(INDEX(lunar_ref!$B:$B,MATCH($A115,lunar_ref!$A:$A,0)),"")</f>
        <v/>
      </c>
      <c r="D115" s="0">
        <f>IFERROR(INDEX(lunar_ref!$C:$C,MATCH($A115,lunar_ref!$A:$A,0)),"")</f>
        <v/>
      </c>
      <c r="E115" s="0">
        <f>_xlfn.XLOOKUP($D115,lookup!$A:$A,lookup!$B:$B)</f>
        <v/>
      </c>
      <c r="F115" s="0">
        <f>IF($E115=1,"New",IF($E115=15,"Full",""))</f>
        <v/>
      </c>
      <c r="H115" s="0">
        <f>IF($E115="","",IF(OR($E115=8,$E115=14,$E115=15,$E115=23,$E116=1,$E117=1),"Fast day",""))</f>
        <v/>
      </c>
      <c r="I115" s="0">
        <f>IFERROR(INDEX(lookup!$E:$E,MATCH($C115,lookup!$D:$D,0)),"")</f>
        <v/>
      </c>
      <c r="J115" s="0">
        <f>IF($I115="","",IF(OR($I115=1,$I115=5,$I115=9),IF($K115="","Long fast month","Long fast month (LEAP)"),""))</f>
        <v/>
      </c>
      <c r="K115" s="0">
        <f>IFERROR(IF(INDEX(lookup!$G:$G,MATCH($C115,lookup!$D:$D,0))="LEAP","LEAP MONTH - counts as month "&amp;$I115&amp;", flagged for review",""),"")</f>
        <v/>
      </c>
    </row>
    <row r="116">
      <c r="A116" s="12">
        <f>A115+1</f>
        <v/>
      </c>
      <c r="B116" s="0">
        <f>TEXT(A116,"ddd")</f>
        <v/>
      </c>
      <c r="C116" s="0">
        <f>IFERROR(INDEX(lunar_ref!$B:$B,MATCH($A116,lunar_ref!$A:$A,0)),"")</f>
        <v/>
      </c>
      <c r="D116" s="0">
        <f>IFERROR(INDEX(lunar_ref!$C:$C,MATCH($A116,lunar_ref!$A:$A,0)),"")</f>
        <v/>
      </c>
      <c r="E116" s="0">
        <f>_xlfn.XLOOKUP($D116,lookup!$A:$A,lookup!$B:$B)</f>
        <v/>
      </c>
      <c r="F116" s="0">
        <f>IF($E116=1,"New",IF($E116=15,"Full",""))</f>
        <v/>
      </c>
      <c r="H116" s="0">
        <f>IF($E116="","",IF(OR($E116=8,$E116=14,$E116=15,$E116=23,$E117=1,$E118=1),"Fast day",""))</f>
        <v/>
      </c>
      <c r="I116" s="0">
        <f>IFERROR(INDEX(lookup!$E:$E,MATCH($C116,lookup!$D:$D,0)),"")</f>
        <v/>
      </c>
      <c r="J116" s="0">
        <f>IF($I116="","",IF(OR($I116=1,$I116=5,$I116=9),IF($K116="","Long fast month","Long fast month (LEAP)"),""))</f>
        <v/>
      </c>
      <c r="K116" s="0">
        <f>IFERROR(IF(INDEX(lookup!$G:$G,MATCH($C116,lookup!$D:$D,0))="LEAP","LEAP MONTH - counts as month "&amp;$I116&amp;", flagged for review",""),"")</f>
        <v/>
      </c>
    </row>
    <row r="117">
      <c r="A117" s="12">
        <f>A116+1</f>
        <v/>
      </c>
      <c r="B117" s="0">
        <f>TEXT(A117,"ddd")</f>
        <v/>
      </c>
      <c r="C117" s="0">
        <f>IFERROR(INDEX(lunar_ref!$B:$B,MATCH($A117,lunar_ref!$A:$A,0)),"")</f>
        <v/>
      </c>
      <c r="D117" s="0">
        <f>IFERROR(INDEX(lunar_ref!$C:$C,MATCH($A117,lunar_ref!$A:$A,0)),"")</f>
        <v/>
      </c>
      <c r="E117" s="0">
        <f>_xlfn.XLOOKUP($D117,lookup!$A:$A,lookup!$B:$B)</f>
        <v/>
      </c>
      <c r="F117" s="0">
        <f>IF($E117=1,"New",IF($E117=15,"Full",""))</f>
        <v/>
      </c>
      <c r="H117" s="0">
        <f>IF($E117="","",IF(OR($E117=8,$E117=14,$E117=15,$E117=23,$E118=1,$E119=1),"Fast day",""))</f>
        <v/>
      </c>
      <c r="I117" s="0">
        <f>IFERROR(INDEX(lookup!$E:$E,MATCH($C117,lookup!$D:$D,0)),"")</f>
        <v/>
      </c>
      <c r="J117" s="0">
        <f>IF($I117="","",IF(OR($I117=1,$I117=5,$I117=9),IF($K117="","Long fast month","Long fast month (LEAP)"),""))</f>
        <v/>
      </c>
      <c r="K117" s="0">
        <f>IFERROR(IF(INDEX(lookup!$G:$G,MATCH($C117,lookup!$D:$D,0))="LEAP","LEAP MONTH - counts as month "&amp;$I117&amp;", flagged for review",""),"")</f>
        <v/>
      </c>
    </row>
    <row r="118">
      <c r="A118" s="12">
        <f>A117+1</f>
        <v/>
      </c>
      <c r="B118" s="0">
        <f>TEXT(A118,"ddd")</f>
        <v/>
      </c>
      <c r="C118" s="0">
        <f>IFERROR(INDEX(lunar_ref!$B:$B,MATCH($A118,lunar_ref!$A:$A,0)),"")</f>
        <v/>
      </c>
      <c r="D118" s="0">
        <f>IFERROR(INDEX(lunar_ref!$C:$C,MATCH($A118,lunar_ref!$A:$A,0)),"")</f>
        <v/>
      </c>
      <c r="E118" s="0">
        <f>_xlfn.XLOOKUP($D118,lookup!$A:$A,lookup!$B:$B)</f>
        <v/>
      </c>
      <c r="F118" s="0">
        <f>IF($E118=1,"New",IF($E118=15,"Full",""))</f>
        <v/>
      </c>
      <c r="H118" s="0">
        <f>IF($E118="","",IF(OR($E118=8,$E118=14,$E118=15,$E118=23,$E119=1,$E120=1),"Fast day",""))</f>
        <v/>
      </c>
      <c r="I118" s="0">
        <f>IFERROR(INDEX(lookup!$E:$E,MATCH($C118,lookup!$D:$D,0)),"")</f>
        <v/>
      </c>
      <c r="J118" s="0">
        <f>IF($I118="","",IF(OR($I118=1,$I118=5,$I118=9),IF($K118="","Long fast month","Long fast month (LEAP)"),""))</f>
        <v/>
      </c>
      <c r="K118" s="0">
        <f>IFERROR(IF(INDEX(lookup!$G:$G,MATCH($C118,lookup!$D:$D,0))="LEAP","LEAP MONTH - counts as month "&amp;$I118&amp;", flagged for review",""),"")</f>
        <v/>
      </c>
    </row>
    <row r="119">
      <c r="A119" s="12">
        <f>A118+1</f>
        <v/>
      </c>
      <c r="B119" s="0">
        <f>TEXT(A119,"ddd")</f>
        <v/>
      </c>
      <c r="C119" s="0">
        <f>IFERROR(INDEX(lunar_ref!$B:$B,MATCH($A119,lunar_ref!$A:$A,0)),"")</f>
        <v/>
      </c>
      <c r="D119" s="0">
        <f>IFERROR(INDEX(lunar_ref!$C:$C,MATCH($A119,lunar_ref!$A:$A,0)),"")</f>
        <v/>
      </c>
      <c r="E119" s="0">
        <f>_xlfn.XLOOKUP($D119,lookup!$A:$A,lookup!$B:$B)</f>
        <v/>
      </c>
      <c r="F119" s="0">
        <f>IF($E119=1,"New",IF($E119=15,"Full",""))</f>
        <v/>
      </c>
      <c r="H119" s="0">
        <f>IF($E119="","",IF(OR($E119=8,$E119=14,$E119=15,$E119=23,$E120=1,$E121=1),"Fast day",""))</f>
        <v/>
      </c>
      <c r="I119" s="0">
        <f>IFERROR(INDEX(lookup!$E:$E,MATCH($C119,lookup!$D:$D,0)),"")</f>
        <v/>
      </c>
      <c r="J119" s="0">
        <f>IF($I119="","",IF(OR($I119=1,$I119=5,$I119=9),IF($K119="","Long fast month","Long fast month (LEAP)"),""))</f>
        <v/>
      </c>
      <c r="K119" s="0">
        <f>IFERROR(IF(INDEX(lookup!$G:$G,MATCH($C119,lookup!$D:$D,0))="LEAP","LEAP MONTH - counts as month "&amp;$I119&amp;", flagged for review",""),"")</f>
        <v/>
      </c>
    </row>
    <row r="120">
      <c r="A120" s="12">
        <f>A119+1</f>
        <v/>
      </c>
      <c r="B120" s="0">
        <f>TEXT(A120,"ddd")</f>
        <v/>
      </c>
      <c r="C120" s="0">
        <f>IFERROR(INDEX(lunar_ref!$B:$B,MATCH($A120,lunar_ref!$A:$A,0)),"")</f>
        <v/>
      </c>
      <c r="D120" s="0">
        <f>IFERROR(INDEX(lunar_ref!$C:$C,MATCH($A120,lunar_ref!$A:$A,0)),"")</f>
        <v/>
      </c>
      <c r="E120" s="0">
        <f>_xlfn.XLOOKUP($D120,lookup!$A:$A,lookup!$B:$B)</f>
        <v/>
      </c>
      <c r="F120" s="0">
        <f>IF($E120=1,"New",IF($E120=15,"Full",""))</f>
        <v/>
      </c>
      <c r="H120" s="0">
        <f>IF($E120="","",IF(OR($E120=8,$E120=14,$E120=15,$E120=23,$E121=1,$E122=1),"Fast day",""))</f>
        <v/>
      </c>
      <c r="I120" s="0">
        <f>IFERROR(INDEX(lookup!$E:$E,MATCH($C120,lookup!$D:$D,0)),"")</f>
        <v/>
      </c>
      <c r="J120" s="0">
        <f>IF($I120="","",IF(OR($I120=1,$I120=5,$I120=9),IF($K120="","Long fast month","Long fast month (LEAP)"),""))</f>
        <v/>
      </c>
      <c r="K120" s="0">
        <f>IFERROR(IF(INDEX(lookup!$G:$G,MATCH($C120,lookup!$D:$D,0))="LEAP","LEAP MONTH - counts as month "&amp;$I120&amp;", flagged for review",""),"")</f>
        <v/>
      </c>
    </row>
    <row r="121">
      <c r="A121" s="12">
        <f>A120+1</f>
        <v/>
      </c>
      <c r="B121" s="0">
        <f>TEXT(A121,"ddd")</f>
        <v/>
      </c>
      <c r="C121" s="0">
        <f>IFERROR(INDEX(lunar_ref!$B:$B,MATCH($A121,lunar_ref!$A:$A,0)),"")</f>
        <v/>
      </c>
      <c r="D121" s="0">
        <f>IFERROR(INDEX(lunar_ref!$C:$C,MATCH($A121,lunar_ref!$A:$A,0)),"")</f>
        <v/>
      </c>
      <c r="E121" s="0">
        <f>_xlfn.XLOOKUP($D121,lookup!$A:$A,lookup!$B:$B)</f>
        <v/>
      </c>
      <c r="F121" s="0">
        <f>IF($E121=1,"New",IF($E121=15,"Full",""))</f>
        <v/>
      </c>
      <c r="H121" s="0">
        <f>IF($E121="","",IF(OR($E121=8,$E121=14,$E121=15,$E121=23,$E122=1,$E123=1),"Fast day",""))</f>
        <v/>
      </c>
      <c r="I121" s="0">
        <f>IFERROR(INDEX(lookup!$E:$E,MATCH($C121,lookup!$D:$D,0)),"")</f>
        <v/>
      </c>
      <c r="J121" s="0">
        <f>IF($I121="","",IF(OR($I121=1,$I121=5,$I121=9),IF($K121="","Long fast month","Long fast month (LEAP)"),""))</f>
        <v/>
      </c>
      <c r="K121" s="0">
        <f>IFERROR(IF(INDEX(lookup!$G:$G,MATCH($C121,lookup!$D:$D,0))="LEAP","LEAP MONTH - counts as month "&amp;$I121&amp;", flagged for review",""),"")</f>
        <v/>
      </c>
    </row>
    <row r="122">
      <c r="A122" s="12">
        <f>A121+1</f>
        <v/>
      </c>
      <c r="B122" s="0">
        <f>TEXT(A122,"ddd")</f>
        <v/>
      </c>
      <c r="C122" s="0">
        <f>IFERROR(INDEX(lunar_ref!$B:$B,MATCH($A122,lunar_ref!$A:$A,0)),"")</f>
        <v/>
      </c>
      <c r="D122" s="0">
        <f>IFERROR(INDEX(lunar_ref!$C:$C,MATCH($A122,lunar_ref!$A:$A,0)),"")</f>
        <v/>
      </c>
      <c r="E122" s="0">
        <f>_xlfn.XLOOKUP($D122,lookup!$A:$A,lookup!$B:$B)</f>
        <v/>
      </c>
      <c r="F122" s="0">
        <f>IF($E122=1,"New",IF($E122=15,"Full",""))</f>
        <v/>
      </c>
      <c r="H122" s="0">
        <f>IF($E122="","",IF(OR($E122=8,$E122=14,$E122=15,$E122=23,$E123=1,$E124=1),"Fast day",""))</f>
        <v/>
      </c>
      <c r="I122" s="0">
        <f>IFERROR(INDEX(lookup!$E:$E,MATCH($C122,lookup!$D:$D,0)),"")</f>
        <v/>
      </c>
      <c r="J122" s="0">
        <f>IF($I122="","",IF(OR($I122=1,$I122=5,$I122=9),IF($K122="","Long fast month","Long fast month (LEAP)"),""))</f>
        <v/>
      </c>
      <c r="K122" s="0">
        <f>IFERROR(IF(INDEX(lookup!$G:$G,MATCH($C122,lookup!$D:$D,0))="LEAP","LEAP MONTH - counts as month "&amp;$I122&amp;", flagged for review",""),"")</f>
        <v/>
      </c>
    </row>
    <row r="123">
      <c r="A123" s="12">
        <f>A122+1</f>
        <v/>
      </c>
      <c r="B123" s="0">
        <f>TEXT(A123,"ddd")</f>
        <v/>
      </c>
      <c r="C123" s="0">
        <f>IFERROR(INDEX(lunar_ref!$B:$B,MATCH($A123,lunar_ref!$A:$A,0)),"")</f>
        <v/>
      </c>
      <c r="D123" s="0">
        <f>IFERROR(INDEX(lunar_ref!$C:$C,MATCH($A123,lunar_ref!$A:$A,0)),"")</f>
        <v/>
      </c>
      <c r="E123" s="0">
        <f>_xlfn.XLOOKUP($D123,lookup!$A:$A,lookup!$B:$B)</f>
        <v/>
      </c>
      <c r="F123" s="0">
        <f>IF($E123=1,"New",IF($E123=15,"Full",""))</f>
        <v/>
      </c>
      <c r="H123" s="0">
        <f>IF($E123="","",IF(OR($E123=8,$E123=14,$E123=15,$E123=23,$E124=1,$E125=1),"Fast day",""))</f>
        <v/>
      </c>
      <c r="I123" s="0">
        <f>IFERROR(INDEX(lookup!$E:$E,MATCH($C123,lookup!$D:$D,0)),"")</f>
        <v/>
      </c>
      <c r="J123" s="0">
        <f>IF($I123="","",IF(OR($I123=1,$I123=5,$I123=9),IF($K123="","Long fast month","Long fast month (LEAP)"),""))</f>
        <v/>
      </c>
      <c r="K123" s="0">
        <f>IFERROR(IF(INDEX(lookup!$G:$G,MATCH($C123,lookup!$D:$D,0))="LEAP","LEAP MONTH - counts as month "&amp;$I123&amp;", flagged for review",""),"")</f>
        <v/>
      </c>
    </row>
    <row r="124">
      <c r="A124" s="12">
        <f>A123+1</f>
        <v/>
      </c>
      <c r="B124" s="0">
        <f>TEXT(A124,"ddd")</f>
        <v/>
      </c>
      <c r="C124" s="0">
        <f>IFERROR(INDEX(lunar_ref!$B:$B,MATCH($A124,lunar_ref!$A:$A,0)),"")</f>
        <v/>
      </c>
      <c r="D124" s="0">
        <f>IFERROR(INDEX(lunar_ref!$C:$C,MATCH($A124,lunar_ref!$A:$A,0)),"")</f>
        <v/>
      </c>
      <c r="E124" s="0">
        <f>_xlfn.XLOOKUP($D124,lookup!$A:$A,lookup!$B:$B)</f>
        <v/>
      </c>
      <c r="F124" s="0">
        <f>IF($E124=1,"New",IF($E124=15,"Full",""))</f>
        <v/>
      </c>
      <c r="H124" s="0">
        <f>IF($E124="","",IF(OR($E124=8,$E124=14,$E124=15,$E124=23,$E125=1,$E126=1),"Fast day",""))</f>
        <v/>
      </c>
      <c r="I124" s="0">
        <f>IFERROR(INDEX(lookup!$E:$E,MATCH($C124,lookup!$D:$D,0)),"")</f>
        <v/>
      </c>
      <c r="J124" s="0">
        <f>IF($I124="","",IF(OR($I124=1,$I124=5,$I124=9),IF($K124="","Long fast month","Long fast month (LEAP)"),""))</f>
        <v/>
      </c>
      <c r="K124" s="0">
        <f>IFERROR(IF(INDEX(lookup!$G:$G,MATCH($C124,lookup!$D:$D,0))="LEAP","LEAP MONTH - counts as month "&amp;$I124&amp;", flagged for review",""),"")</f>
        <v/>
      </c>
    </row>
    <row r="125">
      <c r="A125" s="12">
        <f>A124+1</f>
        <v/>
      </c>
      <c r="B125" s="0">
        <f>TEXT(A125,"ddd")</f>
        <v/>
      </c>
      <c r="C125" s="0">
        <f>IFERROR(INDEX(lunar_ref!$B:$B,MATCH($A125,lunar_ref!$A:$A,0)),"")</f>
        <v/>
      </c>
      <c r="D125" s="0">
        <f>IFERROR(INDEX(lunar_ref!$C:$C,MATCH($A125,lunar_ref!$A:$A,0)),"")</f>
        <v/>
      </c>
      <c r="E125" s="0">
        <f>_xlfn.XLOOKUP($D125,lookup!$A:$A,lookup!$B:$B)</f>
        <v/>
      </c>
      <c r="F125" s="0">
        <f>IF($E125=1,"New",IF($E125=15,"Full",""))</f>
        <v/>
      </c>
      <c r="H125" s="0">
        <f>IF($E125="","",IF(OR($E125=8,$E125=14,$E125=15,$E125=23,$E126=1,$E127=1),"Fast day",""))</f>
        <v/>
      </c>
      <c r="I125" s="0">
        <f>IFERROR(INDEX(lookup!$E:$E,MATCH($C125,lookup!$D:$D,0)),"")</f>
        <v/>
      </c>
      <c r="J125" s="0">
        <f>IF($I125="","",IF(OR($I125=1,$I125=5,$I125=9),IF($K125="","Long fast month","Long fast month (LEAP)"),""))</f>
        <v/>
      </c>
      <c r="K125" s="0">
        <f>IFERROR(IF(INDEX(lookup!$G:$G,MATCH($C125,lookup!$D:$D,0))="LEAP","LEAP MONTH - counts as month "&amp;$I125&amp;", flagged for review",""),"")</f>
        <v/>
      </c>
    </row>
    <row r="126">
      <c r="A126" s="12">
        <f>A125+1</f>
        <v/>
      </c>
      <c r="B126" s="0">
        <f>TEXT(A126,"ddd")</f>
        <v/>
      </c>
      <c r="C126" s="0">
        <f>IFERROR(INDEX(lunar_ref!$B:$B,MATCH($A126,lunar_ref!$A:$A,0)),"")</f>
        <v/>
      </c>
      <c r="D126" s="0">
        <f>IFERROR(INDEX(lunar_ref!$C:$C,MATCH($A126,lunar_ref!$A:$A,0)),"")</f>
        <v/>
      </c>
      <c r="E126" s="0">
        <f>_xlfn.XLOOKUP($D126,lookup!$A:$A,lookup!$B:$B)</f>
        <v/>
      </c>
      <c r="F126" s="0">
        <f>IF($E126=1,"New",IF($E126=15,"Full",""))</f>
        <v/>
      </c>
      <c r="H126" s="0">
        <f>IF($E126="","",IF(OR($E126=8,$E126=14,$E126=15,$E126=23,$E127=1,$E128=1),"Fast day",""))</f>
        <v/>
      </c>
      <c r="I126" s="0">
        <f>IFERROR(INDEX(lookup!$E:$E,MATCH($C126,lookup!$D:$D,0)),"")</f>
        <v/>
      </c>
      <c r="J126" s="0">
        <f>IF($I126="","",IF(OR($I126=1,$I126=5,$I126=9),IF($K126="","Long fast month","Long fast month (LEAP)"),""))</f>
        <v/>
      </c>
      <c r="K126" s="0">
        <f>IFERROR(IF(INDEX(lookup!$G:$G,MATCH($C126,lookup!$D:$D,0))="LEAP","LEAP MONTH - counts as month "&amp;$I126&amp;", flagged for review",""),"")</f>
        <v/>
      </c>
    </row>
    <row r="127">
      <c r="A127" s="12">
        <f>A126+1</f>
        <v/>
      </c>
      <c r="B127" s="0">
        <f>TEXT(A127,"ddd")</f>
        <v/>
      </c>
      <c r="C127" s="0">
        <f>IFERROR(INDEX(lunar_ref!$B:$B,MATCH($A127,lunar_ref!$A:$A,0)),"")</f>
        <v/>
      </c>
      <c r="D127" s="0">
        <f>IFERROR(INDEX(lunar_ref!$C:$C,MATCH($A127,lunar_ref!$A:$A,0)),"")</f>
        <v/>
      </c>
      <c r="E127" s="0">
        <f>_xlfn.XLOOKUP($D127,lookup!$A:$A,lookup!$B:$B)</f>
        <v/>
      </c>
      <c r="F127" s="0">
        <f>IF($E127=1,"New",IF($E127=15,"Full",""))</f>
        <v/>
      </c>
      <c r="H127" s="0">
        <f>IF($E127="","",IF(OR($E127=8,$E127=14,$E127=15,$E127=23,$E128=1,$E129=1),"Fast day",""))</f>
        <v/>
      </c>
      <c r="I127" s="0">
        <f>IFERROR(INDEX(lookup!$E:$E,MATCH($C127,lookup!$D:$D,0)),"")</f>
        <v/>
      </c>
      <c r="J127" s="0">
        <f>IF($I127="","",IF(OR($I127=1,$I127=5,$I127=9),IF($K127="","Long fast month","Long fast month (LEAP)"),""))</f>
        <v/>
      </c>
      <c r="K127" s="0">
        <f>IFERROR(IF(INDEX(lookup!$G:$G,MATCH($C127,lookup!$D:$D,0))="LEAP","LEAP MONTH - counts as month "&amp;$I127&amp;", flagged for review",""),"")</f>
        <v/>
      </c>
    </row>
    <row r="128">
      <c r="A128" s="12">
        <f>A127+1</f>
        <v/>
      </c>
      <c r="B128" s="0">
        <f>TEXT(A128,"ddd")</f>
        <v/>
      </c>
      <c r="C128" s="0">
        <f>IFERROR(INDEX(lunar_ref!$B:$B,MATCH($A128,lunar_ref!$A:$A,0)),"")</f>
        <v/>
      </c>
      <c r="D128" s="0">
        <f>IFERROR(INDEX(lunar_ref!$C:$C,MATCH($A128,lunar_ref!$A:$A,0)),"")</f>
        <v/>
      </c>
      <c r="E128" s="0">
        <f>_xlfn.XLOOKUP($D128,lookup!$A:$A,lookup!$B:$B)</f>
        <v/>
      </c>
      <c r="F128" s="0">
        <f>IF($E128=1,"New",IF($E128=15,"Full",""))</f>
        <v/>
      </c>
      <c r="H128" s="0">
        <f>IF($E128="","",IF(OR($E128=8,$E128=14,$E128=15,$E128=23,$E129=1,$E130=1),"Fast day",""))</f>
        <v/>
      </c>
      <c r="I128" s="0">
        <f>IFERROR(INDEX(lookup!$E:$E,MATCH($C128,lookup!$D:$D,0)),"")</f>
        <v/>
      </c>
      <c r="J128" s="0">
        <f>IF($I128="","",IF(OR($I128=1,$I128=5,$I128=9),IF($K128="","Long fast month","Long fast month (LEAP)"),""))</f>
        <v/>
      </c>
      <c r="K128" s="0">
        <f>IFERROR(IF(INDEX(lookup!$G:$G,MATCH($C128,lookup!$D:$D,0))="LEAP","LEAP MONTH - counts as month "&amp;$I128&amp;", flagged for review",""),"")</f>
        <v/>
      </c>
    </row>
    <row r="129">
      <c r="A129" s="12">
        <f>A128+1</f>
        <v/>
      </c>
      <c r="B129" s="0">
        <f>TEXT(A129,"ddd")</f>
        <v/>
      </c>
      <c r="C129" s="0">
        <f>IFERROR(INDEX(lunar_ref!$B:$B,MATCH($A129,lunar_ref!$A:$A,0)),"")</f>
        <v/>
      </c>
      <c r="D129" s="0">
        <f>IFERROR(INDEX(lunar_ref!$C:$C,MATCH($A129,lunar_ref!$A:$A,0)),"")</f>
        <v/>
      </c>
      <c r="E129" s="0">
        <f>_xlfn.XLOOKUP($D129,lookup!$A:$A,lookup!$B:$B)</f>
        <v/>
      </c>
      <c r="F129" s="0">
        <f>IF($E129=1,"New",IF($E129=15,"Full",""))</f>
        <v/>
      </c>
      <c r="H129" s="0">
        <f>IF($E129="","",IF(OR($E129=8,$E129=14,$E129=15,$E129=23,$E130=1,$E131=1),"Fast day",""))</f>
        <v/>
      </c>
      <c r="I129" s="0">
        <f>IFERROR(INDEX(lookup!$E:$E,MATCH($C129,lookup!$D:$D,0)),"")</f>
        <v/>
      </c>
      <c r="J129" s="0">
        <f>IF($I129="","",IF(OR($I129=1,$I129=5,$I129=9),IF($K129="","Long fast month","Long fast month (LEAP)"),""))</f>
        <v/>
      </c>
      <c r="K129" s="0">
        <f>IFERROR(IF(INDEX(lookup!$G:$G,MATCH($C129,lookup!$D:$D,0))="LEAP","LEAP MONTH - counts as month "&amp;$I129&amp;", flagged for review",""),"")</f>
        <v/>
      </c>
    </row>
    <row r="130">
      <c r="A130" s="12">
        <f>A129+1</f>
        <v/>
      </c>
      <c r="B130" s="0">
        <f>TEXT(A130,"ddd")</f>
        <v/>
      </c>
      <c r="C130" s="0">
        <f>IFERROR(INDEX(lunar_ref!$B:$B,MATCH($A130,lunar_ref!$A:$A,0)),"")</f>
        <v/>
      </c>
      <c r="D130" s="0">
        <f>IFERROR(INDEX(lunar_ref!$C:$C,MATCH($A130,lunar_ref!$A:$A,0)),"")</f>
        <v/>
      </c>
      <c r="E130" s="0">
        <f>_xlfn.XLOOKUP($D130,lookup!$A:$A,lookup!$B:$B)</f>
        <v/>
      </c>
      <c r="F130" s="0">
        <f>IF($E130=1,"New",IF($E130=15,"Full",""))</f>
        <v/>
      </c>
      <c r="H130" s="0">
        <f>IF($E130="","",IF(OR($E130=8,$E130=14,$E130=15,$E130=23,$E131=1,$E132=1),"Fast day",""))</f>
        <v/>
      </c>
      <c r="I130" s="0">
        <f>IFERROR(INDEX(lookup!$E:$E,MATCH($C130,lookup!$D:$D,0)),"")</f>
        <v/>
      </c>
      <c r="J130" s="0">
        <f>IF($I130="","",IF(OR($I130=1,$I130=5,$I130=9),IF($K130="","Long fast month","Long fast month (LEAP)"),""))</f>
        <v/>
      </c>
      <c r="K130" s="0">
        <f>IFERROR(IF(INDEX(lookup!$G:$G,MATCH($C130,lookup!$D:$D,0))="LEAP","LEAP MONTH - counts as month "&amp;$I130&amp;", flagged for review",""),"")</f>
        <v/>
      </c>
    </row>
    <row r="131">
      <c r="A131" s="12">
        <f>A130+1</f>
        <v/>
      </c>
      <c r="B131" s="0">
        <f>TEXT(A131,"ddd")</f>
        <v/>
      </c>
      <c r="C131" s="0">
        <f>IFERROR(INDEX(lunar_ref!$B:$B,MATCH($A131,lunar_ref!$A:$A,0)),"")</f>
        <v/>
      </c>
      <c r="D131" s="0">
        <f>IFERROR(INDEX(lunar_ref!$C:$C,MATCH($A131,lunar_ref!$A:$A,0)),"")</f>
        <v/>
      </c>
      <c r="E131" s="0">
        <f>_xlfn.XLOOKUP($D131,lookup!$A:$A,lookup!$B:$B)</f>
        <v/>
      </c>
      <c r="F131" s="0">
        <f>IF($E131=1,"New",IF($E131=15,"Full",""))</f>
        <v/>
      </c>
      <c r="H131" s="0">
        <f>IF($E131="","",IF(OR($E131=8,$E131=14,$E131=15,$E131=23,$E132=1,$E133=1),"Fast day",""))</f>
        <v/>
      </c>
      <c r="I131" s="0">
        <f>IFERROR(INDEX(lookup!$E:$E,MATCH($C131,lookup!$D:$D,0)),"")</f>
        <v/>
      </c>
      <c r="J131" s="0">
        <f>IF($I131="","",IF(OR($I131=1,$I131=5,$I131=9),IF($K131="","Long fast month","Long fast month (LEAP)"),""))</f>
        <v/>
      </c>
      <c r="K131" s="0">
        <f>IFERROR(IF(INDEX(lookup!$G:$G,MATCH($C131,lookup!$D:$D,0))="LEAP","LEAP MONTH - counts as month "&amp;$I131&amp;", flagged for review",""),"")</f>
        <v/>
      </c>
    </row>
    <row r="132">
      <c r="A132" s="12">
        <f>A131+1</f>
        <v/>
      </c>
      <c r="B132" s="0">
        <f>TEXT(A132,"ddd")</f>
        <v/>
      </c>
      <c r="C132" s="0">
        <f>IFERROR(INDEX(lunar_ref!$B:$B,MATCH($A132,lunar_ref!$A:$A,0)),"")</f>
        <v/>
      </c>
      <c r="D132" s="0">
        <f>IFERROR(INDEX(lunar_ref!$C:$C,MATCH($A132,lunar_ref!$A:$A,0)),"")</f>
        <v/>
      </c>
      <c r="E132" s="0">
        <f>_xlfn.XLOOKUP($D132,lookup!$A:$A,lookup!$B:$B)</f>
        <v/>
      </c>
      <c r="F132" s="0">
        <f>IF($E132=1,"New",IF($E132=15,"Full",""))</f>
        <v/>
      </c>
      <c r="H132" s="0">
        <f>IF($E132="","",IF(OR($E132=8,$E132=14,$E132=15,$E132=23,$E133=1,$E134=1),"Fast day",""))</f>
        <v/>
      </c>
      <c r="I132" s="0">
        <f>IFERROR(INDEX(lookup!$E:$E,MATCH($C132,lookup!$D:$D,0)),"")</f>
        <v/>
      </c>
      <c r="J132" s="0">
        <f>IF($I132="","",IF(OR($I132=1,$I132=5,$I132=9),IF($K132="","Long fast month","Long fast month (LEAP)"),""))</f>
        <v/>
      </c>
      <c r="K132" s="0">
        <f>IFERROR(IF(INDEX(lookup!$G:$G,MATCH($C132,lookup!$D:$D,0))="LEAP","LEAP MONTH - counts as month "&amp;$I132&amp;", flagged for review",""),"")</f>
        <v/>
      </c>
    </row>
    <row r="133">
      <c r="A133" s="12">
        <f>A132+1</f>
        <v/>
      </c>
      <c r="B133" s="0">
        <f>TEXT(A133,"ddd")</f>
        <v/>
      </c>
      <c r="C133" s="0">
        <f>IFERROR(INDEX(lunar_ref!$B:$B,MATCH($A133,lunar_ref!$A:$A,0)),"")</f>
        <v/>
      </c>
      <c r="D133" s="0">
        <f>IFERROR(INDEX(lunar_ref!$C:$C,MATCH($A133,lunar_ref!$A:$A,0)),"")</f>
        <v/>
      </c>
      <c r="E133" s="0">
        <f>_xlfn.XLOOKUP($D133,lookup!$A:$A,lookup!$B:$B)</f>
        <v/>
      </c>
      <c r="F133" s="0">
        <f>IF($E133=1,"New",IF($E133=15,"Full",""))</f>
        <v/>
      </c>
      <c r="H133" s="0">
        <f>IF($E133="","",IF(OR($E133=8,$E133=14,$E133=15,$E133=23,$E134=1,$E135=1),"Fast day",""))</f>
        <v/>
      </c>
      <c r="I133" s="0">
        <f>IFERROR(INDEX(lookup!$E:$E,MATCH($C133,lookup!$D:$D,0)),"")</f>
        <v/>
      </c>
      <c r="J133" s="0">
        <f>IF($I133="","",IF(OR($I133=1,$I133=5,$I133=9),IF($K133="","Long fast month","Long fast month (LEAP)"),""))</f>
        <v/>
      </c>
      <c r="K133" s="0">
        <f>IFERROR(IF(INDEX(lookup!$G:$G,MATCH($C133,lookup!$D:$D,0))="LEAP","LEAP MONTH - counts as month "&amp;$I133&amp;", flagged for review",""),"")</f>
        <v/>
      </c>
    </row>
    <row r="134">
      <c r="A134" s="12">
        <f>A133+1</f>
        <v/>
      </c>
      <c r="B134" s="0">
        <f>TEXT(A134,"ddd")</f>
        <v/>
      </c>
      <c r="C134" s="0">
        <f>IFERROR(INDEX(lunar_ref!$B:$B,MATCH($A134,lunar_ref!$A:$A,0)),"")</f>
        <v/>
      </c>
      <c r="D134" s="0">
        <f>IFERROR(INDEX(lunar_ref!$C:$C,MATCH($A134,lunar_ref!$A:$A,0)),"")</f>
        <v/>
      </c>
      <c r="E134" s="0">
        <f>_xlfn.XLOOKUP($D134,lookup!$A:$A,lookup!$B:$B)</f>
        <v/>
      </c>
      <c r="F134" s="0">
        <f>IF($E134=1,"New",IF($E134=15,"Full",""))</f>
        <v/>
      </c>
      <c r="H134" s="0">
        <f>IF($E134="","",IF(OR($E134=8,$E134=14,$E134=15,$E134=23,$E135=1,$E136=1),"Fast day",""))</f>
        <v/>
      </c>
      <c r="I134" s="0">
        <f>IFERROR(INDEX(lookup!$E:$E,MATCH($C134,lookup!$D:$D,0)),"")</f>
        <v/>
      </c>
      <c r="J134" s="0">
        <f>IF($I134="","",IF(OR($I134=1,$I134=5,$I134=9),IF($K134="","Long fast month","Long fast month (LEAP)"),""))</f>
        <v/>
      </c>
      <c r="K134" s="0">
        <f>IFERROR(IF(INDEX(lookup!$G:$G,MATCH($C134,lookup!$D:$D,0))="LEAP","LEAP MONTH - counts as month "&amp;$I134&amp;", flagged for review",""),"")</f>
        <v/>
      </c>
    </row>
    <row r="135">
      <c r="A135" s="12">
        <f>A134+1</f>
        <v/>
      </c>
      <c r="B135" s="0">
        <f>TEXT(A135,"ddd")</f>
        <v/>
      </c>
      <c r="C135" s="0">
        <f>IFERROR(INDEX(lunar_ref!$B:$B,MATCH($A135,lunar_ref!$A:$A,0)),"")</f>
        <v/>
      </c>
      <c r="D135" s="0">
        <f>IFERROR(INDEX(lunar_ref!$C:$C,MATCH($A135,lunar_ref!$A:$A,0)),"")</f>
        <v/>
      </c>
      <c r="E135" s="0">
        <f>_xlfn.XLOOKUP($D135,lookup!$A:$A,lookup!$B:$B)</f>
        <v/>
      </c>
      <c r="F135" s="0">
        <f>IF($E135=1,"New",IF($E135=15,"Full",""))</f>
        <v/>
      </c>
      <c r="H135" s="0">
        <f>IF($E135="","",IF(OR($E135=8,$E135=14,$E135=15,$E135=23,$E136=1,$E137=1),"Fast day",""))</f>
        <v/>
      </c>
      <c r="I135" s="0">
        <f>IFERROR(INDEX(lookup!$E:$E,MATCH($C135,lookup!$D:$D,0)),"")</f>
        <v/>
      </c>
      <c r="J135" s="0">
        <f>IF($I135="","",IF(OR($I135=1,$I135=5,$I135=9),IF($K135="","Long fast month","Long fast month (LEAP)"),""))</f>
        <v/>
      </c>
      <c r="K135" s="0">
        <f>IFERROR(IF(INDEX(lookup!$G:$G,MATCH($C135,lookup!$D:$D,0))="LEAP","LEAP MONTH - counts as month "&amp;$I135&amp;", flagged for review",""),"")</f>
        <v/>
      </c>
    </row>
    <row r="136">
      <c r="A136" s="12">
        <f>A135+1</f>
        <v/>
      </c>
      <c r="B136" s="0">
        <f>TEXT(A136,"ddd")</f>
        <v/>
      </c>
      <c r="C136" s="0">
        <f>IFERROR(INDEX(lunar_ref!$B:$B,MATCH($A136,lunar_ref!$A:$A,0)),"")</f>
        <v/>
      </c>
      <c r="D136" s="0">
        <f>IFERROR(INDEX(lunar_ref!$C:$C,MATCH($A136,lunar_ref!$A:$A,0)),"")</f>
        <v/>
      </c>
      <c r="E136" s="0">
        <f>_xlfn.XLOOKUP($D136,lookup!$A:$A,lookup!$B:$B)</f>
        <v/>
      </c>
      <c r="F136" s="0">
        <f>IF($E136=1,"New",IF($E136=15,"Full",""))</f>
        <v/>
      </c>
      <c r="H136" s="0">
        <f>IF($E136="","",IF(OR($E136=8,$E136=14,$E136=15,$E136=23,$E137=1,$E138=1),"Fast day",""))</f>
        <v/>
      </c>
      <c r="I136" s="0">
        <f>IFERROR(INDEX(lookup!$E:$E,MATCH($C136,lookup!$D:$D,0)),"")</f>
        <v/>
      </c>
      <c r="J136" s="0">
        <f>IF($I136="","",IF(OR($I136=1,$I136=5,$I136=9),IF($K136="","Long fast month","Long fast month (LEAP)"),""))</f>
        <v/>
      </c>
      <c r="K136" s="0">
        <f>IFERROR(IF(INDEX(lookup!$G:$G,MATCH($C136,lookup!$D:$D,0))="LEAP","LEAP MONTH - counts as month "&amp;$I136&amp;", flagged for review",""),"")</f>
        <v/>
      </c>
    </row>
    <row r="137">
      <c r="A137" s="12">
        <f>A136+1</f>
        <v/>
      </c>
      <c r="B137" s="0">
        <f>TEXT(A137,"ddd")</f>
        <v/>
      </c>
      <c r="C137" s="0">
        <f>IFERROR(INDEX(lunar_ref!$B:$B,MATCH($A137,lunar_ref!$A:$A,0)),"")</f>
        <v/>
      </c>
      <c r="D137" s="0">
        <f>IFERROR(INDEX(lunar_ref!$C:$C,MATCH($A137,lunar_ref!$A:$A,0)),"")</f>
        <v/>
      </c>
      <c r="E137" s="0">
        <f>_xlfn.XLOOKUP($D137,lookup!$A:$A,lookup!$B:$B)</f>
        <v/>
      </c>
      <c r="F137" s="0">
        <f>IF($E137=1,"New",IF($E137=15,"Full",""))</f>
        <v/>
      </c>
      <c r="H137" s="0">
        <f>IF($E137="","",IF(OR($E137=8,$E137=14,$E137=15,$E137=23,$E138=1,$E139=1),"Fast day",""))</f>
        <v/>
      </c>
      <c r="I137" s="0">
        <f>IFERROR(INDEX(lookup!$E:$E,MATCH($C137,lookup!$D:$D,0)),"")</f>
        <v/>
      </c>
      <c r="J137" s="0">
        <f>IF($I137="","",IF(OR($I137=1,$I137=5,$I137=9),IF($K137="","Long fast month","Long fast month (LEAP)"),""))</f>
        <v/>
      </c>
      <c r="K137" s="0">
        <f>IFERROR(IF(INDEX(lookup!$G:$G,MATCH($C137,lookup!$D:$D,0))="LEAP","LEAP MONTH - counts as month "&amp;$I137&amp;", flagged for review",""),"")</f>
        <v/>
      </c>
    </row>
    <row r="138">
      <c r="A138" s="12">
        <f>A137+1</f>
        <v/>
      </c>
      <c r="B138" s="0">
        <f>TEXT(A138,"ddd")</f>
        <v/>
      </c>
      <c r="C138" s="0">
        <f>IFERROR(INDEX(lunar_ref!$B:$B,MATCH($A138,lunar_ref!$A:$A,0)),"")</f>
        <v/>
      </c>
      <c r="D138" s="0">
        <f>IFERROR(INDEX(lunar_ref!$C:$C,MATCH($A138,lunar_ref!$A:$A,0)),"")</f>
        <v/>
      </c>
      <c r="E138" s="0">
        <f>_xlfn.XLOOKUP($D138,lookup!$A:$A,lookup!$B:$B)</f>
        <v/>
      </c>
      <c r="F138" s="0">
        <f>IF($E138=1,"New",IF($E138=15,"Full",""))</f>
        <v/>
      </c>
      <c r="H138" s="0">
        <f>IF($E138="","",IF(OR($E138=8,$E138=14,$E138=15,$E138=23,$E139=1,$E140=1),"Fast day",""))</f>
        <v/>
      </c>
      <c r="I138" s="0">
        <f>IFERROR(INDEX(lookup!$E:$E,MATCH($C138,lookup!$D:$D,0)),"")</f>
        <v/>
      </c>
      <c r="J138" s="0">
        <f>IF($I138="","",IF(OR($I138=1,$I138=5,$I138=9),IF($K138="","Long fast month","Long fast month (LEAP)"),""))</f>
        <v/>
      </c>
      <c r="K138" s="0">
        <f>IFERROR(IF(INDEX(lookup!$G:$G,MATCH($C138,lookup!$D:$D,0))="LEAP","LEAP MONTH - counts as month "&amp;$I138&amp;", flagged for review",""),"")</f>
        <v/>
      </c>
    </row>
    <row r="139">
      <c r="A139" s="12">
        <f>A138+1</f>
        <v/>
      </c>
      <c r="B139" s="0">
        <f>TEXT(A139,"ddd")</f>
        <v/>
      </c>
      <c r="C139" s="0">
        <f>IFERROR(INDEX(lunar_ref!$B:$B,MATCH($A139,lunar_ref!$A:$A,0)),"")</f>
        <v/>
      </c>
      <c r="D139" s="0">
        <f>IFERROR(INDEX(lunar_ref!$C:$C,MATCH($A139,lunar_ref!$A:$A,0)),"")</f>
        <v/>
      </c>
      <c r="E139" s="0">
        <f>_xlfn.XLOOKUP($D139,lookup!$A:$A,lookup!$B:$B)</f>
        <v/>
      </c>
      <c r="F139" s="0">
        <f>IF($E139=1,"New",IF($E139=15,"Full",""))</f>
        <v/>
      </c>
      <c r="H139" s="0">
        <f>IF($E139="","",IF(OR($E139=8,$E139=14,$E139=15,$E139=23,$E140=1,$E141=1),"Fast day",""))</f>
        <v/>
      </c>
      <c r="I139" s="0">
        <f>IFERROR(INDEX(lookup!$E:$E,MATCH($C139,lookup!$D:$D,0)),"")</f>
        <v/>
      </c>
      <c r="J139" s="0">
        <f>IF($I139="","",IF(OR($I139=1,$I139=5,$I139=9),IF($K139="","Long fast month","Long fast month (LEAP)"),""))</f>
        <v/>
      </c>
      <c r="K139" s="0">
        <f>IFERROR(IF(INDEX(lookup!$G:$G,MATCH($C139,lookup!$D:$D,0))="LEAP","LEAP MONTH - counts as month "&amp;$I139&amp;", flagged for review",""),"")</f>
        <v/>
      </c>
    </row>
    <row r="140">
      <c r="A140" s="12">
        <f>A139+1</f>
        <v/>
      </c>
      <c r="B140" s="0">
        <f>TEXT(A140,"ddd")</f>
        <v/>
      </c>
      <c r="C140" s="0">
        <f>IFERROR(INDEX(lunar_ref!$B:$B,MATCH($A140,lunar_ref!$A:$A,0)),"")</f>
        <v/>
      </c>
      <c r="D140" s="0">
        <f>IFERROR(INDEX(lunar_ref!$C:$C,MATCH($A140,lunar_ref!$A:$A,0)),"")</f>
        <v/>
      </c>
      <c r="E140" s="0">
        <f>_xlfn.XLOOKUP($D140,lookup!$A:$A,lookup!$B:$B)</f>
        <v/>
      </c>
      <c r="F140" s="0">
        <f>IF($E140=1,"New",IF($E140=15,"Full",""))</f>
        <v/>
      </c>
      <c r="H140" s="0">
        <f>IF($E140="","",IF(OR($E140=8,$E140=14,$E140=15,$E140=23,$E141=1,$E142=1),"Fast day",""))</f>
        <v/>
      </c>
      <c r="I140" s="0">
        <f>IFERROR(INDEX(lookup!$E:$E,MATCH($C140,lookup!$D:$D,0)),"")</f>
        <v/>
      </c>
      <c r="J140" s="0">
        <f>IF($I140="","",IF(OR($I140=1,$I140=5,$I140=9),IF($K140="","Long fast month","Long fast month (LEAP)"),""))</f>
        <v/>
      </c>
      <c r="K140" s="0">
        <f>IFERROR(IF(INDEX(lookup!$G:$G,MATCH($C140,lookup!$D:$D,0))="LEAP","LEAP MONTH - counts as month "&amp;$I140&amp;", flagged for review",""),"")</f>
        <v/>
      </c>
    </row>
    <row r="141">
      <c r="A141" s="12">
        <f>A140+1</f>
        <v/>
      </c>
      <c r="B141" s="0">
        <f>TEXT(A141,"ddd")</f>
        <v/>
      </c>
      <c r="C141" s="0">
        <f>IFERROR(INDEX(lunar_ref!$B:$B,MATCH($A141,lunar_ref!$A:$A,0)),"")</f>
        <v/>
      </c>
      <c r="D141" s="0">
        <f>IFERROR(INDEX(lunar_ref!$C:$C,MATCH($A141,lunar_ref!$A:$A,0)),"")</f>
        <v/>
      </c>
      <c r="E141" s="0">
        <f>_xlfn.XLOOKUP($D141,lookup!$A:$A,lookup!$B:$B)</f>
        <v/>
      </c>
      <c r="F141" s="0">
        <f>IF($E141=1,"New",IF($E141=15,"Full",""))</f>
        <v/>
      </c>
      <c r="H141" s="0">
        <f>IF($E141="","",IF(OR($E141=8,$E141=14,$E141=15,$E141=23,$E142=1,$E143=1),"Fast day",""))</f>
        <v/>
      </c>
      <c r="I141" s="0">
        <f>IFERROR(INDEX(lookup!$E:$E,MATCH($C141,lookup!$D:$D,0)),"")</f>
        <v/>
      </c>
      <c r="J141" s="0">
        <f>IF($I141="","",IF(OR($I141=1,$I141=5,$I141=9),IF($K141="","Long fast month","Long fast month (LEAP)"),""))</f>
        <v/>
      </c>
      <c r="K141" s="0">
        <f>IFERROR(IF(INDEX(lookup!$G:$G,MATCH($C141,lookup!$D:$D,0))="LEAP","LEAP MONTH - counts as month "&amp;$I141&amp;", flagged for review",""),"")</f>
        <v/>
      </c>
    </row>
    <row r="142">
      <c r="A142" s="12">
        <f>A141+1</f>
        <v/>
      </c>
      <c r="B142" s="0">
        <f>TEXT(A142,"ddd")</f>
        <v/>
      </c>
      <c r="C142" s="0">
        <f>IFERROR(INDEX(lunar_ref!$B:$B,MATCH($A142,lunar_ref!$A:$A,0)),"")</f>
        <v/>
      </c>
      <c r="D142" s="0">
        <f>IFERROR(INDEX(lunar_ref!$C:$C,MATCH($A142,lunar_ref!$A:$A,0)),"")</f>
        <v/>
      </c>
      <c r="E142" s="0">
        <f>_xlfn.XLOOKUP($D142,lookup!$A:$A,lookup!$B:$B)</f>
        <v/>
      </c>
      <c r="F142" s="0">
        <f>IF($E142=1,"New",IF($E142=15,"Full",""))</f>
        <v/>
      </c>
      <c r="H142" s="0">
        <f>IF($E142="","",IF(OR($E142=8,$E142=14,$E142=15,$E142=23,$E143=1,$E144=1),"Fast day",""))</f>
        <v/>
      </c>
      <c r="I142" s="0">
        <f>IFERROR(INDEX(lookup!$E:$E,MATCH($C142,lookup!$D:$D,0)),"")</f>
        <v/>
      </c>
      <c r="J142" s="0">
        <f>IF($I142="","",IF(OR($I142=1,$I142=5,$I142=9),IF($K142="","Long fast month","Long fast month (LEAP)"),""))</f>
        <v/>
      </c>
      <c r="K142" s="0">
        <f>IFERROR(IF(INDEX(lookup!$G:$G,MATCH($C142,lookup!$D:$D,0))="LEAP","LEAP MONTH - counts as month "&amp;$I142&amp;", flagged for review",""),"")</f>
        <v/>
      </c>
    </row>
    <row r="143">
      <c r="A143" s="12">
        <f>A142+1</f>
        <v/>
      </c>
      <c r="B143" s="0">
        <f>TEXT(A143,"ddd")</f>
        <v/>
      </c>
      <c r="C143" s="0">
        <f>IFERROR(INDEX(lunar_ref!$B:$B,MATCH($A143,lunar_ref!$A:$A,0)),"")</f>
        <v/>
      </c>
      <c r="D143" s="0">
        <f>IFERROR(INDEX(lunar_ref!$C:$C,MATCH($A143,lunar_ref!$A:$A,0)),"")</f>
        <v/>
      </c>
      <c r="E143" s="0">
        <f>_xlfn.XLOOKUP($D143,lookup!$A:$A,lookup!$B:$B)</f>
        <v/>
      </c>
      <c r="F143" s="0">
        <f>IF($E143=1,"New",IF($E143=15,"Full",""))</f>
        <v/>
      </c>
      <c r="H143" s="0">
        <f>IF($E143="","",IF(OR($E143=8,$E143=14,$E143=15,$E143=23,$E144=1,$E145=1),"Fast day",""))</f>
        <v/>
      </c>
      <c r="I143" s="0">
        <f>IFERROR(INDEX(lookup!$E:$E,MATCH($C143,lookup!$D:$D,0)),"")</f>
        <v/>
      </c>
      <c r="J143" s="0">
        <f>IF($I143="","",IF(OR($I143=1,$I143=5,$I143=9),IF($K143="","Long fast month","Long fast month (LEAP)"),""))</f>
        <v/>
      </c>
      <c r="K143" s="0">
        <f>IFERROR(IF(INDEX(lookup!$G:$G,MATCH($C143,lookup!$D:$D,0))="LEAP","LEAP MONTH - counts as month "&amp;$I143&amp;", flagged for review",""),"")</f>
        <v/>
      </c>
    </row>
    <row r="144">
      <c r="A144" s="12">
        <f>A143+1</f>
        <v/>
      </c>
      <c r="B144" s="0">
        <f>TEXT(A144,"ddd")</f>
        <v/>
      </c>
      <c r="C144" s="0">
        <f>IFERROR(INDEX(lunar_ref!$B:$B,MATCH($A144,lunar_ref!$A:$A,0)),"")</f>
        <v/>
      </c>
      <c r="D144" s="0">
        <f>IFERROR(INDEX(lunar_ref!$C:$C,MATCH($A144,lunar_ref!$A:$A,0)),"")</f>
        <v/>
      </c>
      <c r="E144" s="0">
        <f>_xlfn.XLOOKUP($D144,lookup!$A:$A,lookup!$B:$B)</f>
        <v/>
      </c>
      <c r="F144" s="0">
        <f>IF($E144=1,"New",IF($E144=15,"Full",""))</f>
        <v/>
      </c>
      <c r="H144" s="0">
        <f>IF($E144="","",IF(OR($E144=8,$E144=14,$E144=15,$E144=23,$E145=1,$E146=1),"Fast day",""))</f>
        <v/>
      </c>
      <c r="I144" s="0">
        <f>IFERROR(INDEX(lookup!$E:$E,MATCH($C144,lookup!$D:$D,0)),"")</f>
        <v/>
      </c>
      <c r="J144" s="0">
        <f>IF($I144="","",IF(OR($I144=1,$I144=5,$I144=9),IF($K144="","Long fast month","Long fast month (LEAP)"),""))</f>
        <v/>
      </c>
      <c r="K144" s="0">
        <f>IFERROR(IF(INDEX(lookup!$G:$G,MATCH($C144,lookup!$D:$D,0))="LEAP","LEAP MONTH - counts as month "&amp;$I144&amp;", flagged for review",""),"")</f>
        <v/>
      </c>
    </row>
    <row r="145">
      <c r="A145" s="12">
        <f>A144+1</f>
        <v/>
      </c>
      <c r="B145" s="0">
        <f>TEXT(A145,"ddd")</f>
        <v/>
      </c>
      <c r="C145" s="0">
        <f>IFERROR(INDEX(lunar_ref!$B:$B,MATCH($A145,lunar_ref!$A:$A,0)),"")</f>
        <v/>
      </c>
      <c r="D145" s="0">
        <f>IFERROR(INDEX(lunar_ref!$C:$C,MATCH($A145,lunar_ref!$A:$A,0)),"")</f>
        <v/>
      </c>
      <c r="E145" s="0">
        <f>_xlfn.XLOOKUP($D145,lookup!$A:$A,lookup!$B:$B)</f>
        <v/>
      </c>
      <c r="F145" s="0">
        <f>IF($E145=1,"New",IF($E145=15,"Full",""))</f>
        <v/>
      </c>
      <c r="H145" s="0">
        <f>IF($E145="","",IF(OR($E145=8,$E145=14,$E145=15,$E145=23,$E146=1,$E147=1),"Fast day",""))</f>
        <v/>
      </c>
      <c r="I145" s="0">
        <f>IFERROR(INDEX(lookup!$E:$E,MATCH($C145,lookup!$D:$D,0)),"")</f>
        <v/>
      </c>
      <c r="J145" s="0">
        <f>IF($I145="","",IF(OR($I145=1,$I145=5,$I145=9),IF($K145="","Long fast month","Long fast month (LEAP)"),""))</f>
        <v/>
      </c>
      <c r="K145" s="0">
        <f>IFERROR(IF(INDEX(lookup!$G:$G,MATCH($C145,lookup!$D:$D,0))="LEAP","LEAP MONTH - counts as month "&amp;$I145&amp;", flagged for review",""),"")</f>
        <v/>
      </c>
    </row>
    <row r="146">
      <c r="A146" s="12">
        <f>A145+1</f>
        <v/>
      </c>
      <c r="B146" s="0">
        <f>TEXT(A146,"ddd")</f>
        <v/>
      </c>
      <c r="C146" s="0">
        <f>IFERROR(INDEX(lunar_ref!$B:$B,MATCH($A146,lunar_ref!$A:$A,0)),"")</f>
        <v/>
      </c>
      <c r="D146" s="0">
        <f>IFERROR(INDEX(lunar_ref!$C:$C,MATCH($A146,lunar_ref!$A:$A,0)),"")</f>
        <v/>
      </c>
      <c r="E146" s="0">
        <f>_xlfn.XLOOKUP($D146,lookup!$A:$A,lookup!$B:$B)</f>
        <v/>
      </c>
      <c r="F146" s="0">
        <f>IF($E146=1,"New",IF($E146=15,"Full",""))</f>
        <v/>
      </c>
      <c r="H146" s="0">
        <f>IF($E146="","",IF(OR($E146=8,$E146=14,$E146=15,$E146=23,$E147=1,$E148=1),"Fast day",""))</f>
        <v/>
      </c>
      <c r="I146" s="0">
        <f>IFERROR(INDEX(lookup!$E:$E,MATCH($C146,lookup!$D:$D,0)),"")</f>
        <v/>
      </c>
      <c r="J146" s="0">
        <f>IF($I146="","",IF(OR($I146=1,$I146=5,$I146=9),IF($K146="","Long fast month","Long fast month (LEAP)"),""))</f>
        <v/>
      </c>
      <c r="K146" s="0">
        <f>IFERROR(IF(INDEX(lookup!$G:$G,MATCH($C146,lookup!$D:$D,0))="LEAP","LEAP MONTH - counts as month "&amp;$I146&amp;", flagged for review",""),"")</f>
        <v/>
      </c>
    </row>
    <row r="147">
      <c r="A147" s="12">
        <f>A146+1</f>
        <v/>
      </c>
      <c r="B147" s="0">
        <f>TEXT(A147,"ddd")</f>
        <v/>
      </c>
      <c r="C147" s="0">
        <f>IFERROR(INDEX(lunar_ref!$B:$B,MATCH($A147,lunar_ref!$A:$A,0)),"")</f>
        <v/>
      </c>
      <c r="D147" s="0">
        <f>IFERROR(INDEX(lunar_ref!$C:$C,MATCH($A147,lunar_ref!$A:$A,0)),"")</f>
        <v/>
      </c>
      <c r="E147" s="0">
        <f>_xlfn.XLOOKUP($D147,lookup!$A:$A,lookup!$B:$B)</f>
        <v/>
      </c>
      <c r="F147" s="0">
        <f>IF($E147=1,"New",IF($E147=15,"Full",""))</f>
        <v/>
      </c>
      <c r="H147" s="0">
        <f>IF($E147="","",IF(OR($E147=8,$E147=14,$E147=15,$E147=23,$E148=1,$E149=1),"Fast day",""))</f>
        <v/>
      </c>
      <c r="I147" s="0">
        <f>IFERROR(INDEX(lookup!$E:$E,MATCH($C147,lookup!$D:$D,0)),"")</f>
        <v/>
      </c>
      <c r="J147" s="0">
        <f>IF($I147="","",IF(OR($I147=1,$I147=5,$I147=9),IF($K147="","Long fast month","Long fast month (LEAP)"),""))</f>
        <v/>
      </c>
      <c r="K147" s="0">
        <f>IFERROR(IF(INDEX(lookup!$G:$G,MATCH($C147,lookup!$D:$D,0))="LEAP","LEAP MONTH - counts as month "&amp;$I147&amp;", flagged for review",""),"")</f>
        <v/>
      </c>
    </row>
    <row r="148">
      <c r="A148" s="12">
        <f>A147+1</f>
        <v/>
      </c>
      <c r="B148" s="0">
        <f>TEXT(A148,"ddd")</f>
        <v/>
      </c>
      <c r="C148" s="0">
        <f>IFERROR(INDEX(lunar_ref!$B:$B,MATCH($A148,lunar_ref!$A:$A,0)),"")</f>
        <v/>
      </c>
      <c r="D148" s="0">
        <f>IFERROR(INDEX(lunar_ref!$C:$C,MATCH($A148,lunar_ref!$A:$A,0)),"")</f>
        <v/>
      </c>
      <c r="E148" s="0">
        <f>_xlfn.XLOOKUP($D148,lookup!$A:$A,lookup!$B:$B)</f>
        <v/>
      </c>
      <c r="F148" s="0">
        <f>IF($E148=1,"New",IF($E148=15,"Full",""))</f>
        <v/>
      </c>
      <c r="H148" s="0">
        <f>IF($E148="","",IF(OR($E148=8,$E148=14,$E148=15,$E148=23,$E149=1,$E150=1),"Fast day",""))</f>
        <v/>
      </c>
      <c r="I148" s="0">
        <f>IFERROR(INDEX(lookup!$E:$E,MATCH($C148,lookup!$D:$D,0)),"")</f>
        <v/>
      </c>
      <c r="J148" s="0">
        <f>IF($I148="","",IF(OR($I148=1,$I148=5,$I148=9),IF($K148="","Long fast month","Long fast month (LEAP)"),""))</f>
        <v/>
      </c>
      <c r="K148" s="0">
        <f>IFERROR(IF(INDEX(lookup!$G:$G,MATCH($C148,lookup!$D:$D,0))="LEAP","LEAP MONTH - counts as month "&amp;$I148&amp;", flagged for review",""),"")</f>
        <v/>
      </c>
    </row>
    <row r="149">
      <c r="A149" s="12">
        <f>A148+1</f>
        <v/>
      </c>
      <c r="B149" s="0">
        <f>TEXT(A149,"ddd")</f>
        <v/>
      </c>
      <c r="C149" s="0">
        <f>IFERROR(INDEX(lunar_ref!$B:$B,MATCH($A149,lunar_ref!$A:$A,0)),"")</f>
        <v/>
      </c>
      <c r="D149" s="0">
        <f>IFERROR(INDEX(lunar_ref!$C:$C,MATCH($A149,lunar_ref!$A:$A,0)),"")</f>
        <v/>
      </c>
      <c r="E149" s="0">
        <f>_xlfn.XLOOKUP($D149,lookup!$A:$A,lookup!$B:$B)</f>
        <v/>
      </c>
      <c r="F149" s="0">
        <f>IF($E149=1,"New",IF($E149=15,"Full",""))</f>
        <v/>
      </c>
      <c r="H149" s="0">
        <f>IF($E149="","",IF(OR($E149=8,$E149=14,$E149=15,$E149=23,$E150=1,$E151=1),"Fast day",""))</f>
        <v/>
      </c>
      <c r="I149" s="0">
        <f>IFERROR(INDEX(lookup!$E:$E,MATCH($C149,lookup!$D:$D,0)),"")</f>
        <v/>
      </c>
      <c r="J149" s="0">
        <f>IF($I149="","",IF(OR($I149=1,$I149=5,$I149=9),IF($K149="","Long fast month","Long fast month (LEAP)"),""))</f>
        <v/>
      </c>
      <c r="K149" s="0">
        <f>IFERROR(IF(INDEX(lookup!$G:$G,MATCH($C149,lookup!$D:$D,0))="LEAP","LEAP MONTH - counts as month "&amp;$I149&amp;", flagged for review",""),"")</f>
        <v/>
      </c>
    </row>
    <row r="150">
      <c r="A150" s="12">
        <f>A149+1</f>
        <v/>
      </c>
      <c r="B150" s="0">
        <f>TEXT(A150,"ddd")</f>
        <v/>
      </c>
      <c r="C150" s="0">
        <f>IFERROR(INDEX(lunar_ref!$B:$B,MATCH($A150,lunar_ref!$A:$A,0)),"")</f>
        <v/>
      </c>
      <c r="D150" s="0">
        <f>IFERROR(INDEX(lunar_ref!$C:$C,MATCH($A150,lunar_ref!$A:$A,0)),"")</f>
        <v/>
      </c>
      <c r="E150" s="0">
        <f>_xlfn.XLOOKUP($D150,lookup!$A:$A,lookup!$B:$B)</f>
        <v/>
      </c>
      <c r="F150" s="0">
        <f>IF($E150=1,"New",IF($E150=15,"Full",""))</f>
        <v/>
      </c>
      <c r="H150" s="0">
        <f>IF($E150="","",IF(OR($E150=8,$E150=14,$E150=15,$E150=23,$E151=1,$E152=1),"Fast day",""))</f>
        <v/>
      </c>
      <c r="I150" s="0">
        <f>IFERROR(INDEX(lookup!$E:$E,MATCH($C150,lookup!$D:$D,0)),"")</f>
        <v/>
      </c>
      <c r="J150" s="0">
        <f>IF($I150="","",IF(OR($I150=1,$I150=5,$I150=9),IF($K150="","Long fast month","Long fast month (LEAP)"),""))</f>
        <v/>
      </c>
      <c r="K150" s="0">
        <f>IFERROR(IF(INDEX(lookup!$G:$G,MATCH($C150,lookup!$D:$D,0))="LEAP","LEAP MONTH - counts as month "&amp;$I150&amp;", flagged for review",""),"")</f>
        <v/>
      </c>
    </row>
    <row r="151">
      <c r="A151" s="12">
        <f>A150+1</f>
        <v/>
      </c>
      <c r="B151" s="0">
        <f>TEXT(A151,"ddd")</f>
        <v/>
      </c>
      <c r="C151" s="0">
        <f>IFERROR(INDEX(lunar_ref!$B:$B,MATCH($A151,lunar_ref!$A:$A,0)),"")</f>
        <v/>
      </c>
      <c r="D151" s="0">
        <f>IFERROR(INDEX(lunar_ref!$C:$C,MATCH($A151,lunar_ref!$A:$A,0)),"")</f>
        <v/>
      </c>
      <c r="E151" s="0">
        <f>_xlfn.XLOOKUP($D151,lookup!$A:$A,lookup!$B:$B)</f>
        <v/>
      </c>
      <c r="F151" s="0">
        <f>IF($E151=1,"New",IF($E151=15,"Full",""))</f>
        <v/>
      </c>
      <c r="H151" s="0">
        <f>IF($E151="","",IF(OR($E151=8,$E151=14,$E151=15,$E151=23,$E152=1,$E153=1),"Fast day",""))</f>
        <v/>
      </c>
      <c r="I151" s="0">
        <f>IFERROR(INDEX(lookup!$E:$E,MATCH($C151,lookup!$D:$D,0)),"")</f>
        <v/>
      </c>
      <c r="J151" s="0">
        <f>IF($I151="","",IF(OR($I151=1,$I151=5,$I151=9),IF($K151="","Long fast month","Long fast month (LEAP)"),""))</f>
        <v/>
      </c>
      <c r="K151" s="0">
        <f>IFERROR(IF(INDEX(lookup!$G:$G,MATCH($C151,lookup!$D:$D,0))="LEAP","LEAP MONTH - counts as month "&amp;$I151&amp;", flagged for review",""),"")</f>
        <v/>
      </c>
    </row>
    <row r="152">
      <c r="A152" s="12">
        <f>A151+1</f>
        <v/>
      </c>
      <c r="B152" s="0">
        <f>TEXT(A152,"ddd")</f>
        <v/>
      </c>
      <c r="C152" s="0">
        <f>IFERROR(INDEX(lunar_ref!$B:$B,MATCH($A152,lunar_ref!$A:$A,0)),"")</f>
        <v/>
      </c>
      <c r="D152" s="0">
        <f>IFERROR(INDEX(lunar_ref!$C:$C,MATCH($A152,lunar_ref!$A:$A,0)),"")</f>
        <v/>
      </c>
      <c r="E152" s="0">
        <f>_xlfn.XLOOKUP($D152,lookup!$A:$A,lookup!$B:$B)</f>
        <v/>
      </c>
      <c r="F152" s="0">
        <f>IF($E152=1,"New",IF($E152=15,"Full",""))</f>
        <v/>
      </c>
      <c r="H152" s="0">
        <f>IF($E152="","",IF(OR($E152=8,$E152=14,$E152=15,$E152=23,$E153=1,$E154=1),"Fast day",""))</f>
        <v/>
      </c>
      <c r="I152" s="0">
        <f>IFERROR(INDEX(lookup!$E:$E,MATCH($C152,lookup!$D:$D,0)),"")</f>
        <v/>
      </c>
      <c r="J152" s="0">
        <f>IF($I152="","",IF(OR($I152=1,$I152=5,$I152=9),IF($K152="","Long fast month","Long fast month (LEAP)"),""))</f>
        <v/>
      </c>
      <c r="K152" s="0">
        <f>IFERROR(IF(INDEX(lookup!$G:$G,MATCH($C152,lookup!$D:$D,0))="LEAP","LEAP MONTH - counts as month "&amp;$I152&amp;", flagged for review",""),"")</f>
        <v/>
      </c>
    </row>
    <row r="153">
      <c r="A153" s="12">
        <f>A152+1</f>
        <v/>
      </c>
      <c r="B153" s="0">
        <f>TEXT(A153,"ddd")</f>
        <v/>
      </c>
      <c r="C153" s="0">
        <f>IFERROR(INDEX(lunar_ref!$B:$B,MATCH($A153,lunar_ref!$A:$A,0)),"")</f>
        <v/>
      </c>
      <c r="D153" s="0">
        <f>IFERROR(INDEX(lunar_ref!$C:$C,MATCH($A153,lunar_ref!$A:$A,0)),"")</f>
        <v/>
      </c>
      <c r="E153" s="0">
        <f>_xlfn.XLOOKUP($D153,lookup!$A:$A,lookup!$B:$B)</f>
        <v/>
      </c>
      <c r="F153" s="0">
        <f>IF($E153=1,"New",IF($E153=15,"Full",""))</f>
        <v/>
      </c>
      <c r="H153" s="0">
        <f>IF($E153="","",IF(OR($E153=8,$E153=14,$E153=15,$E153=23,$E154=1,$E155=1),"Fast day",""))</f>
        <v/>
      </c>
      <c r="I153" s="0">
        <f>IFERROR(INDEX(lookup!$E:$E,MATCH($C153,lookup!$D:$D,0)),"")</f>
        <v/>
      </c>
      <c r="J153" s="0">
        <f>IF($I153="","",IF(OR($I153=1,$I153=5,$I153=9),IF($K153="","Long fast month","Long fast month (LEAP)"),""))</f>
        <v/>
      </c>
      <c r="K153" s="0">
        <f>IFERROR(IF(INDEX(lookup!$G:$G,MATCH($C153,lookup!$D:$D,0))="LEAP","LEAP MONTH - counts as month "&amp;$I153&amp;", flagged for review",""),"")</f>
        <v/>
      </c>
    </row>
    <row r="154">
      <c r="A154" s="12">
        <f>A153+1</f>
        <v/>
      </c>
      <c r="B154" s="0">
        <f>TEXT(A154,"ddd")</f>
        <v/>
      </c>
      <c r="C154" s="0">
        <f>IFERROR(INDEX(lunar_ref!$B:$B,MATCH($A154,lunar_ref!$A:$A,0)),"")</f>
        <v/>
      </c>
      <c r="D154" s="0">
        <f>IFERROR(INDEX(lunar_ref!$C:$C,MATCH($A154,lunar_ref!$A:$A,0)),"")</f>
        <v/>
      </c>
      <c r="E154" s="0">
        <f>_xlfn.XLOOKUP($D154,lookup!$A:$A,lookup!$B:$B)</f>
        <v/>
      </c>
      <c r="F154" s="0">
        <f>IF($E154=1,"New",IF($E154=15,"Full",""))</f>
        <v/>
      </c>
      <c r="H154" s="0">
        <f>IF($E154="","",IF(OR($E154=8,$E154=14,$E154=15,$E154=23,$E155=1,$E156=1),"Fast day",""))</f>
        <v/>
      </c>
      <c r="I154" s="0">
        <f>IFERROR(INDEX(lookup!$E:$E,MATCH($C154,lookup!$D:$D,0)),"")</f>
        <v/>
      </c>
      <c r="J154" s="0">
        <f>IF($I154="","",IF(OR($I154=1,$I154=5,$I154=9),IF($K154="","Long fast month","Long fast month (LEAP)"),""))</f>
        <v/>
      </c>
      <c r="K154" s="0">
        <f>IFERROR(IF(INDEX(lookup!$G:$G,MATCH($C154,lookup!$D:$D,0))="LEAP","LEAP MONTH - counts as month "&amp;$I154&amp;", flagged for review",""),"")</f>
        <v/>
      </c>
    </row>
    <row r="155">
      <c r="A155" s="12">
        <f>A154+1</f>
        <v/>
      </c>
      <c r="B155" s="0">
        <f>TEXT(A155,"ddd")</f>
        <v/>
      </c>
      <c r="C155" s="0">
        <f>IFERROR(INDEX(lunar_ref!$B:$B,MATCH($A155,lunar_ref!$A:$A,0)),"")</f>
        <v/>
      </c>
      <c r="D155" s="0">
        <f>IFERROR(INDEX(lunar_ref!$C:$C,MATCH($A155,lunar_ref!$A:$A,0)),"")</f>
        <v/>
      </c>
      <c r="E155" s="0">
        <f>_xlfn.XLOOKUP($D155,lookup!$A:$A,lookup!$B:$B)</f>
        <v/>
      </c>
      <c r="F155" s="0">
        <f>IF($E155=1,"New",IF($E155=15,"Full",""))</f>
        <v/>
      </c>
      <c r="H155" s="0">
        <f>IF($E155="","",IF(OR($E155=8,$E155=14,$E155=15,$E155=23,$E156=1,$E157=1),"Fast day",""))</f>
        <v/>
      </c>
      <c r="I155" s="0">
        <f>IFERROR(INDEX(lookup!$E:$E,MATCH($C155,lookup!$D:$D,0)),"")</f>
        <v/>
      </c>
      <c r="J155" s="0">
        <f>IF($I155="","",IF(OR($I155=1,$I155=5,$I155=9),IF($K155="","Long fast month","Long fast month (LEAP)"),""))</f>
        <v/>
      </c>
      <c r="K155" s="0">
        <f>IFERROR(IF(INDEX(lookup!$G:$G,MATCH($C155,lookup!$D:$D,0))="LEAP","LEAP MONTH - counts as month "&amp;$I155&amp;", flagged for review",""),"")</f>
        <v/>
      </c>
    </row>
    <row r="156">
      <c r="A156" s="12">
        <f>A155+1</f>
        <v/>
      </c>
      <c r="B156" s="0">
        <f>TEXT(A156,"ddd")</f>
        <v/>
      </c>
      <c r="C156" s="0">
        <f>IFERROR(INDEX(lunar_ref!$B:$B,MATCH($A156,lunar_ref!$A:$A,0)),"")</f>
        <v/>
      </c>
      <c r="D156" s="0">
        <f>IFERROR(INDEX(lunar_ref!$C:$C,MATCH($A156,lunar_ref!$A:$A,0)),"")</f>
        <v/>
      </c>
      <c r="E156" s="0">
        <f>_xlfn.XLOOKUP($D156,lookup!$A:$A,lookup!$B:$B)</f>
        <v/>
      </c>
      <c r="F156" s="0">
        <f>IF($E156=1,"New",IF($E156=15,"Full",""))</f>
        <v/>
      </c>
      <c r="H156" s="0">
        <f>IF($E156="","",IF(OR($E156=8,$E156=14,$E156=15,$E156=23,$E157=1,$E158=1),"Fast day",""))</f>
        <v/>
      </c>
      <c r="I156" s="0">
        <f>IFERROR(INDEX(lookup!$E:$E,MATCH($C156,lookup!$D:$D,0)),"")</f>
        <v/>
      </c>
      <c r="J156" s="0">
        <f>IF($I156="","",IF(OR($I156=1,$I156=5,$I156=9),IF($K156="","Long fast month","Long fast month (LEAP)"),""))</f>
        <v/>
      </c>
      <c r="K156" s="0">
        <f>IFERROR(IF(INDEX(lookup!$G:$G,MATCH($C156,lookup!$D:$D,0))="LEAP","LEAP MONTH - counts as month "&amp;$I156&amp;", flagged for review",""),"")</f>
        <v/>
      </c>
    </row>
    <row r="157">
      <c r="A157" s="12">
        <f>A156+1</f>
        <v/>
      </c>
      <c r="B157" s="0">
        <f>TEXT(A157,"ddd")</f>
        <v/>
      </c>
      <c r="C157" s="0">
        <f>IFERROR(INDEX(lunar_ref!$B:$B,MATCH($A157,lunar_ref!$A:$A,0)),"")</f>
        <v/>
      </c>
      <c r="D157" s="0">
        <f>IFERROR(INDEX(lunar_ref!$C:$C,MATCH($A157,lunar_ref!$A:$A,0)),"")</f>
        <v/>
      </c>
      <c r="E157" s="0">
        <f>_xlfn.XLOOKUP($D157,lookup!$A:$A,lookup!$B:$B)</f>
        <v/>
      </c>
      <c r="F157" s="0">
        <f>IF($E157=1,"New",IF($E157=15,"Full",""))</f>
        <v/>
      </c>
      <c r="H157" s="0">
        <f>IF($E157="","",IF(OR($E157=8,$E157=14,$E157=15,$E157=23,$E158=1,$E159=1),"Fast day",""))</f>
        <v/>
      </c>
      <c r="I157" s="0">
        <f>IFERROR(INDEX(lookup!$E:$E,MATCH($C157,lookup!$D:$D,0)),"")</f>
        <v/>
      </c>
      <c r="J157" s="0">
        <f>IF($I157="","",IF(OR($I157=1,$I157=5,$I157=9),IF($K157="","Long fast month","Long fast month (LEAP)"),""))</f>
        <v/>
      </c>
      <c r="K157" s="0">
        <f>IFERROR(IF(INDEX(lookup!$G:$G,MATCH($C157,lookup!$D:$D,0))="LEAP","LEAP MONTH - counts as month "&amp;$I157&amp;", flagged for review",""),"")</f>
        <v/>
      </c>
    </row>
    <row r="158">
      <c r="A158" s="12">
        <f>A157+1</f>
        <v/>
      </c>
      <c r="B158" s="0">
        <f>TEXT(A158,"ddd")</f>
        <v/>
      </c>
      <c r="C158" s="0">
        <f>IFERROR(INDEX(lunar_ref!$B:$B,MATCH($A158,lunar_ref!$A:$A,0)),"")</f>
        <v/>
      </c>
      <c r="D158" s="0">
        <f>IFERROR(INDEX(lunar_ref!$C:$C,MATCH($A158,lunar_ref!$A:$A,0)),"")</f>
        <v/>
      </c>
      <c r="E158" s="0">
        <f>_xlfn.XLOOKUP($D158,lookup!$A:$A,lookup!$B:$B)</f>
        <v/>
      </c>
      <c r="F158" s="0">
        <f>IF($E158=1,"New",IF($E158=15,"Full",""))</f>
        <v/>
      </c>
      <c r="H158" s="0">
        <f>IF($E158="","",IF(OR($E158=8,$E158=14,$E158=15,$E158=23,$E159=1,$E160=1),"Fast day",""))</f>
        <v/>
      </c>
      <c r="I158" s="0">
        <f>IFERROR(INDEX(lookup!$E:$E,MATCH($C158,lookup!$D:$D,0)),"")</f>
        <v/>
      </c>
      <c r="J158" s="0">
        <f>IF($I158="","",IF(OR($I158=1,$I158=5,$I158=9),IF($K158="","Long fast month","Long fast month (LEAP)"),""))</f>
        <v/>
      </c>
      <c r="K158" s="0">
        <f>IFERROR(IF(INDEX(lookup!$G:$G,MATCH($C158,lookup!$D:$D,0))="LEAP","LEAP MONTH - counts as month "&amp;$I158&amp;", flagged for review",""),"")</f>
        <v/>
      </c>
    </row>
    <row r="159">
      <c r="A159" s="12">
        <f>A158+1</f>
        <v/>
      </c>
      <c r="B159" s="0">
        <f>TEXT(A159,"ddd")</f>
        <v/>
      </c>
      <c r="C159" s="0">
        <f>IFERROR(INDEX(lunar_ref!$B:$B,MATCH($A159,lunar_ref!$A:$A,0)),"")</f>
        <v/>
      </c>
      <c r="D159" s="0">
        <f>IFERROR(INDEX(lunar_ref!$C:$C,MATCH($A159,lunar_ref!$A:$A,0)),"")</f>
        <v/>
      </c>
      <c r="E159" s="0">
        <f>_xlfn.XLOOKUP($D159,lookup!$A:$A,lookup!$B:$B)</f>
        <v/>
      </c>
      <c r="F159" s="0">
        <f>IF($E159=1,"New",IF($E159=15,"Full",""))</f>
        <v/>
      </c>
      <c r="H159" s="0">
        <f>IF($E159="","",IF(OR($E159=8,$E159=14,$E159=15,$E159=23,$E160=1,$E161=1),"Fast day",""))</f>
        <v/>
      </c>
      <c r="I159" s="0">
        <f>IFERROR(INDEX(lookup!$E:$E,MATCH($C159,lookup!$D:$D,0)),"")</f>
        <v/>
      </c>
      <c r="J159" s="0">
        <f>IF($I159="","",IF(OR($I159=1,$I159=5,$I159=9),IF($K159="","Long fast month","Long fast month (LEAP)"),""))</f>
        <v/>
      </c>
      <c r="K159" s="0">
        <f>IFERROR(IF(INDEX(lookup!$G:$G,MATCH($C159,lookup!$D:$D,0))="LEAP","LEAP MONTH - counts as month "&amp;$I159&amp;", flagged for review",""),"")</f>
        <v/>
      </c>
    </row>
    <row r="160">
      <c r="A160" s="12">
        <f>A159+1</f>
        <v/>
      </c>
      <c r="B160" s="0">
        <f>TEXT(A160,"ddd")</f>
        <v/>
      </c>
      <c r="C160" s="0">
        <f>IFERROR(INDEX(lunar_ref!$B:$B,MATCH($A160,lunar_ref!$A:$A,0)),"")</f>
        <v/>
      </c>
      <c r="D160" s="0">
        <f>IFERROR(INDEX(lunar_ref!$C:$C,MATCH($A160,lunar_ref!$A:$A,0)),"")</f>
        <v/>
      </c>
      <c r="E160" s="0">
        <f>_xlfn.XLOOKUP($D160,lookup!$A:$A,lookup!$B:$B)</f>
        <v/>
      </c>
      <c r="F160" s="0">
        <f>IF($E160=1,"New",IF($E160=15,"Full",""))</f>
        <v/>
      </c>
      <c r="H160" s="0">
        <f>IF($E160="","",IF(OR($E160=8,$E160=14,$E160=15,$E160=23,$E161=1,$E162=1),"Fast day",""))</f>
        <v/>
      </c>
      <c r="I160" s="0">
        <f>IFERROR(INDEX(lookup!$E:$E,MATCH($C160,lookup!$D:$D,0)),"")</f>
        <v/>
      </c>
      <c r="J160" s="0">
        <f>IF($I160="","",IF(OR($I160=1,$I160=5,$I160=9),IF($K160="","Long fast month","Long fast month (LEAP)"),""))</f>
        <v/>
      </c>
      <c r="K160" s="0">
        <f>IFERROR(IF(INDEX(lookup!$G:$G,MATCH($C160,lookup!$D:$D,0))="LEAP","LEAP MONTH - counts as month "&amp;$I160&amp;", flagged for review",""),"")</f>
        <v/>
      </c>
    </row>
    <row r="161">
      <c r="A161" s="12">
        <f>A160+1</f>
        <v/>
      </c>
      <c r="B161" s="0">
        <f>TEXT(A161,"ddd")</f>
        <v/>
      </c>
      <c r="C161" s="0">
        <f>IFERROR(INDEX(lunar_ref!$B:$B,MATCH($A161,lunar_ref!$A:$A,0)),"")</f>
        <v/>
      </c>
      <c r="D161" s="0">
        <f>IFERROR(INDEX(lunar_ref!$C:$C,MATCH($A161,lunar_ref!$A:$A,0)),"")</f>
        <v/>
      </c>
      <c r="E161" s="0">
        <f>_xlfn.XLOOKUP($D161,lookup!$A:$A,lookup!$B:$B)</f>
        <v/>
      </c>
      <c r="F161" s="0">
        <f>IF($E161=1,"New",IF($E161=15,"Full",""))</f>
        <v/>
      </c>
      <c r="H161" s="0">
        <f>IF($E161="","",IF(OR($E161=8,$E161=14,$E161=15,$E161=23,$E162=1,$E163=1),"Fast day",""))</f>
        <v/>
      </c>
      <c r="I161" s="0">
        <f>IFERROR(INDEX(lookup!$E:$E,MATCH($C161,lookup!$D:$D,0)),"")</f>
        <v/>
      </c>
      <c r="J161" s="0">
        <f>IF($I161="","",IF(OR($I161=1,$I161=5,$I161=9),IF($K161="","Long fast month","Long fast month (LEAP)"),""))</f>
        <v/>
      </c>
      <c r="K161" s="0">
        <f>IFERROR(IF(INDEX(lookup!$G:$G,MATCH($C161,lookup!$D:$D,0))="LEAP","LEAP MONTH - counts as month "&amp;$I161&amp;", flagged for review",""),"")</f>
        <v/>
      </c>
    </row>
    <row r="162">
      <c r="A162" s="12">
        <f>A161+1</f>
        <v/>
      </c>
      <c r="B162" s="0">
        <f>TEXT(A162,"ddd")</f>
        <v/>
      </c>
      <c r="C162" s="0">
        <f>IFERROR(INDEX(lunar_ref!$B:$B,MATCH($A162,lunar_ref!$A:$A,0)),"")</f>
        <v/>
      </c>
      <c r="D162" s="0">
        <f>IFERROR(INDEX(lunar_ref!$C:$C,MATCH($A162,lunar_ref!$A:$A,0)),"")</f>
        <v/>
      </c>
      <c r="E162" s="0">
        <f>_xlfn.XLOOKUP($D162,lookup!$A:$A,lookup!$B:$B)</f>
        <v/>
      </c>
      <c r="F162" s="0">
        <f>IF($E162=1,"New",IF($E162=15,"Full",""))</f>
        <v/>
      </c>
      <c r="H162" s="0">
        <f>IF($E162="","",IF(OR($E162=8,$E162=14,$E162=15,$E162=23,$E163=1,$E164=1),"Fast day",""))</f>
        <v/>
      </c>
      <c r="I162" s="0">
        <f>IFERROR(INDEX(lookup!$E:$E,MATCH($C162,lookup!$D:$D,0)),"")</f>
        <v/>
      </c>
      <c r="J162" s="0">
        <f>IF($I162="","",IF(OR($I162=1,$I162=5,$I162=9),IF($K162="","Long fast month","Long fast month (LEAP)"),""))</f>
        <v/>
      </c>
      <c r="K162" s="0">
        <f>IFERROR(IF(INDEX(lookup!$G:$G,MATCH($C162,lookup!$D:$D,0))="LEAP","LEAP MONTH - counts as month "&amp;$I162&amp;", flagged for review",""),"")</f>
        <v/>
      </c>
    </row>
    <row r="163">
      <c r="A163" s="12">
        <f>A162+1</f>
        <v/>
      </c>
      <c r="B163" s="0">
        <f>TEXT(A163,"ddd")</f>
        <v/>
      </c>
      <c r="C163" s="0">
        <f>IFERROR(INDEX(lunar_ref!$B:$B,MATCH($A163,lunar_ref!$A:$A,0)),"")</f>
        <v/>
      </c>
      <c r="D163" s="0">
        <f>IFERROR(INDEX(lunar_ref!$C:$C,MATCH($A163,lunar_ref!$A:$A,0)),"")</f>
        <v/>
      </c>
      <c r="E163" s="0">
        <f>_xlfn.XLOOKUP($D163,lookup!$A:$A,lookup!$B:$B)</f>
        <v/>
      </c>
      <c r="F163" s="0">
        <f>IF($E163=1,"New",IF($E163=15,"Full",""))</f>
        <v/>
      </c>
      <c r="H163" s="0">
        <f>IF($E163="","",IF(OR($E163=8,$E163=14,$E163=15,$E163=23,$E164=1,$E165=1),"Fast day",""))</f>
        <v/>
      </c>
      <c r="I163" s="0">
        <f>IFERROR(INDEX(lookup!$E:$E,MATCH($C163,lookup!$D:$D,0)),"")</f>
        <v/>
      </c>
      <c r="J163" s="0">
        <f>IF($I163="","",IF(OR($I163=1,$I163=5,$I163=9),IF($K163="","Long fast month","Long fast month (LEAP)"),""))</f>
        <v/>
      </c>
      <c r="K163" s="0">
        <f>IFERROR(IF(INDEX(lookup!$G:$G,MATCH($C163,lookup!$D:$D,0))="LEAP","LEAP MONTH - counts as month "&amp;$I163&amp;", flagged for review",""),"")</f>
        <v/>
      </c>
    </row>
    <row r="164">
      <c r="A164" s="12">
        <f>A163+1</f>
        <v/>
      </c>
      <c r="B164" s="0">
        <f>TEXT(A164,"ddd")</f>
        <v/>
      </c>
      <c r="C164" s="0">
        <f>IFERROR(INDEX(lunar_ref!$B:$B,MATCH($A164,lunar_ref!$A:$A,0)),"")</f>
        <v/>
      </c>
      <c r="D164" s="0">
        <f>IFERROR(INDEX(lunar_ref!$C:$C,MATCH($A164,lunar_ref!$A:$A,0)),"")</f>
        <v/>
      </c>
      <c r="E164" s="0">
        <f>_xlfn.XLOOKUP($D164,lookup!$A:$A,lookup!$B:$B)</f>
        <v/>
      </c>
      <c r="F164" s="0">
        <f>IF($E164=1,"New",IF($E164=15,"Full",""))</f>
        <v/>
      </c>
      <c r="H164" s="0">
        <f>IF($E164="","",IF(OR($E164=8,$E164=14,$E164=15,$E164=23,$E165=1,$E166=1),"Fast day",""))</f>
        <v/>
      </c>
      <c r="I164" s="0">
        <f>IFERROR(INDEX(lookup!$E:$E,MATCH($C164,lookup!$D:$D,0)),"")</f>
        <v/>
      </c>
      <c r="J164" s="0">
        <f>IF($I164="","",IF(OR($I164=1,$I164=5,$I164=9),IF($K164="","Long fast month","Long fast month (LEAP)"),""))</f>
        <v/>
      </c>
      <c r="K164" s="0">
        <f>IFERROR(IF(INDEX(lookup!$G:$G,MATCH($C164,lookup!$D:$D,0))="LEAP","LEAP MONTH - counts as month "&amp;$I164&amp;", flagged for review",""),"")</f>
        <v/>
      </c>
    </row>
    <row r="165">
      <c r="A165" s="12">
        <f>A164+1</f>
        <v/>
      </c>
      <c r="B165" s="0">
        <f>TEXT(A165,"ddd")</f>
        <v/>
      </c>
      <c r="C165" s="0">
        <f>IFERROR(INDEX(lunar_ref!$B:$B,MATCH($A165,lunar_ref!$A:$A,0)),"")</f>
        <v/>
      </c>
      <c r="D165" s="0">
        <f>IFERROR(INDEX(lunar_ref!$C:$C,MATCH($A165,lunar_ref!$A:$A,0)),"")</f>
        <v/>
      </c>
      <c r="E165" s="0">
        <f>_xlfn.XLOOKUP($D165,lookup!$A:$A,lookup!$B:$B)</f>
        <v/>
      </c>
      <c r="F165" s="0">
        <f>IF($E165=1,"New",IF($E165=15,"Full",""))</f>
        <v/>
      </c>
      <c r="H165" s="0">
        <f>IF($E165="","",IF(OR($E165=8,$E165=14,$E165=15,$E165=23,$E166=1,$E167=1),"Fast day",""))</f>
        <v/>
      </c>
      <c r="I165" s="0">
        <f>IFERROR(INDEX(lookup!$E:$E,MATCH($C165,lookup!$D:$D,0)),"")</f>
        <v/>
      </c>
      <c r="J165" s="0">
        <f>IF($I165="","",IF(OR($I165=1,$I165=5,$I165=9),IF($K165="","Long fast month","Long fast month (LEAP)"),""))</f>
        <v/>
      </c>
      <c r="K165" s="0">
        <f>IFERROR(IF(INDEX(lookup!$G:$G,MATCH($C165,lookup!$D:$D,0))="LEAP","LEAP MONTH - counts as month "&amp;$I165&amp;", flagged for review",""),"")</f>
        <v/>
      </c>
    </row>
    <row r="166">
      <c r="A166" s="12">
        <f>A165+1</f>
        <v/>
      </c>
      <c r="B166" s="0">
        <f>TEXT(A166,"ddd")</f>
        <v/>
      </c>
      <c r="C166" s="0">
        <f>IFERROR(INDEX(lunar_ref!$B:$B,MATCH($A166,lunar_ref!$A:$A,0)),"")</f>
        <v/>
      </c>
      <c r="D166" s="0">
        <f>IFERROR(INDEX(lunar_ref!$C:$C,MATCH($A166,lunar_ref!$A:$A,0)),"")</f>
        <v/>
      </c>
      <c r="E166" s="0">
        <f>_xlfn.XLOOKUP($D166,lookup!$A:$A,lookup!$B:$B)</f>
        <v/>
      </c>
      <c r="F166" s="0">
        <f>IF($E166=1,"New",IF($E166=15,"Full",""))</f>
        <v/>
      </c>
      <c r="H166" s="0">
        <f>IF($E166="","",IF(OR($E166=8,$E166=14,$E166=15,$E166=23,$E167=1,$E168=1),"Fast day",""))</f>
        <v/>
      </c>
      <c r="I166" s="0">
        <f>IFERROR(INDEX(lookup!$E:$E,MATCH($C166,lookup!$D:$D,0)),"")</f>
        <v/>
      </c>
      <c r="J166" s="0">
        <f>IF($I166="","",IF(OR($I166=1,$I166=5,$I166=9),IF($K166="","Long fast month","Long fast month (LEAP)"),""))</f>
        <v/>
      </c>
      <c r="K166" s="0">
        <f>IFERROR(IF(INDEX(lookup!$G:$G,MATCH($C166,lookup!$D:$D,0))="LEAP","LEAP MONTH - counts as month "&amp;$I166&amp;", flagged for review",""),"")</f>
        <v/>
      </c>
    </row>
    <row r="167">
      <c r="A167" s="12">
        <f>A166+1</f>
        <v/>
      </c>
      <c r="B167" s="0">
        <f>TEXT(A167,"ddd")</f>
        <v/>
      </c>
      <c r="C167" s="0">
        <f>IFERROR(INDEX(lunar_ref!$B:$B,MATCH($A167,lunar_ref!$A:$A,0)),"")</f>
        <v/>
      </c>
      <c r="D167" s="0">
        <f>IFERROR(INDEX(lunar_ref!$C:$C,MATCH($A167,lunar_ref!$A:$A,0)),"")</f>
        <v/>
      </c>
      <c r="E167" s="0">
        <f>_xlfn.XLOOKUP($D167,lookup!$A:$A,lookup!$B:$B)</f>
        <v/>
      </c>
      <c r="F167" s="0">
        <f>IF($E167=1,"New",IF($E167=15,"Full",""))</f>
        <v/>
      </c>
      <c r="H167" s="0">
        <f>IF($E167="","",IF(OR($E167=8,$E167=14,$E167=15,$E167=23,$E168=1,$E169=1),"Fast day",""))</f>
        <v/>
      </c>
      <c r="I167" s="0">
        <f>IFERROR(INDEX(lookup!$E:$E,MATCH($C167,lookup!$D:$D,0)),"")</f>
        <v/>
      </c>
      <c r="J167" s="0">
        <f>IF($I167="","",IF(OR($I167=1,$I167=5,$I167=9),IF($K167="","Long fast month","Long fast month (LEAP)"),""))</f>
        <v/>
      </c>
      <c r="K167" s="0">
        <f>IFERROR(IF(INDEX(lookup!$G:$G,MATCH($C167,lookup!$D:$D,0))="LEAP","LEAP MONTH - counts as month "&amp;$I167&amp;", flagged for review",""),"")</f>
        <v/>
      </c>
    </row>
    <row r="168">
      <c r="A168" s="12">
        <f>A167+1</f>
        <v/>
      </c>
      <c r="B168" s="0">
        <f>TEXT(A168,"ddd")</f>
        <v/>
      </c>
      <c r="C168" s="0">
        <f>IFERROR(INDEX(lunar_ref!$B:$B,MATCH($A168,lunar_ref!$A:$A,0)),"")</f>
        <v/>
      </c>
      <c r="D168" s="0">
        <f>IFERROR(INDEX(lunar_ref!$C:$C,MATCH($A168,lunar_ref!$A:$A,0)),"")</f>
        <v/>
      </c>
      <c r="E168" s="0">
        <f>_xlfn.XLOOKUP($D168,lookup!$A:$A,lookup!$B:$B)</f>
        <v/>
      </c>
      <c r="F168" s="0">
        <f>IF($E168=1,"New",IF($E168=15,"Full",""))</f>
        <v/>
      </c>
      <c r="H168" s="0">
        <f>IF($E168="","",IF(OR($E168=8,$E168=14,$E168=15,$E168=23,$E169=1,$E170=1),"Fast day",""))</f>
        <v/>
      </c>
      <c r="I168" s="0">
        <f>IFERROR(INDEX(lookup!$E:$E,MATCH($C168,lookup!$D:$D,0)),"")</f>
        <v/>
      </c>
      <c r="J168" s="0">
        <f>IF($I168="","",IF(OR($I168=1,$I168=5,$I168=9),IF($K168="","Long fast month","Long fast month (LEAP)"),""))</f>
        <v/>
      </c>
      <c r="K168" s="0">
        <f>IFERROR(IF(INDEX(lookup!$G:$G,MATCH($C168,lookup!$D:$D,0))="LEAP","LEAP MONTH - counts as month "&amp;$I168&amp;", flagged for review",""),"")</f>
        <v/>
      </c>
    </row>
    <row r="169">
      <c r="A169" s="12">
        <f>A168+1</f>
        <v/>
      </c>
      <c r="B169" s="0">
        <f>TEXT(A169,"ddd")</f>
        <v/>
      </c>
      <c r="C169" s="0">
        <f>IFERROR(INDEX(lunar_ref!$B:$B,MATCH($A169,lunar_ref!$A:$A,0)),"")</f>
        <v/>
      </c>
      <c r="D169" s="0">
        <f>IFERROR(INDEX(lunar_ref!$C:$C,MATCH($A169,lunar_ref!$A:$A,0)),"")</f>
        <v/>
      </c>
      <c r="E169" s="0">
        <f>_xlfn.XLOOKUP($D169,lookup!$A:$A,lookup!$B:$B)</f>
        <v/>
      </c>
      <c r="F169" s="0">
        <f>IF($E169=1,"New",IF($E169=15,"Full",""))</f>
        <v/>
      </c>
      <c r="H169" s="0">
        <f>IF($E169="","",IF(OR($E169=8,$E169=14,$E169=15,$E169=23,$E170=1,$E171=1),"Fast day",""))</f>
        <v/>
      </c>
      <c r="I169" s="0">
        <f>IFERROR(INDEX(lookup!$E:$E,MATCH($C169,lookup!$D:$D,0)),"")</f>
        <v/>
      </c>
      <c r="J169" s="0">
        <f>IF($I169="","",IF(OR($I169=1,$I169=5,$I169=9),IF($K169="","Long fast month","Long fast month (LEAP)"),""))</f>
        <v/>
      </c>
      <c r="K169" s="0">
        <f>IFERROR(IF(INDEX(lookup!$G:$G,MATCH($C169,lookup!$D:$D,0))="LEAP","LEAP MONTH - counts as month "&amp;$I169&amp;", flagged for review",""),"")</f>
        <v/>
      </c>
    </row>
    <row r="170">
      <c r="A170" s="12">
        <f>A169+1</f>
        <v/>
      </c>
      <c r="B170" s="0">
        <f>TEXT(A170,"ddd")</f>
        <v/>
      </c>
      <c r="C170" s="0">
        <f>IFERROR(INDEX(lunar_ref!$B:$B,MATCH($A170,lunar_ref!$A:$A,0)),"")</f>
        <v/>
      </c>
      <c r="D170" s="0">
        <f>IFERROR(INDEX(lunar_ref!$C:$C,MATCH($A170,lunar_ref!$A:$A,0)),"")</f>
        <v/>
      </c>
      <c r="E170" s="0">
        <f>_xlfn.XLOOKUP($D170,lookup!$A:$A,lookup!$B:$B)</f>
        <v/>
      </c>
      <c r="F170" s="0">
        <f>IF($E170=1,"New",IF($E170=15,"Full",""))</f>
        <v/>
      </c>
      <c r="H170" s="0">
        <f>IF($E170="","",IF(OR($E170=8,$E170=14,$E170=15,$E170=23,$E171=1,$E172=1),"Fast day",""))</f>
        <v/>
      </c>
      <c r="I170" s="0">
        <f>IFERROR(INDEX(lookup!$E:$E,MATCH($C170,lookup!$D:$D,0)),"")</f>
        <v/>
      </c>
      <c r="J170" s="0">
        <f>IF($I170="","",IF(OR($I170=1,$I170=5,$I170=9),IF($K170="","Long fast month","Long fast month (LEAP)"),""))</f>
        <v/>
      </c>
      <c r="K170" s="0">
        <f>IFERROR(IF(INDEX(lookup!$G:$G,MATCH($C170,lookup!$D:$D,0))="LEAP","LEAP MONTH - counts as month "&amp;$I170&amp;", flagged for review",""),"")</f>
        <v/>
      </c>
    </row>
    <row r="171">
      <c r="A171" s="12">
        <f>A170+1</f>
        <v/>
      </c>
      <c r="B171" s="0">
        <f>TEXT(A171,"ddd")</f>
        <v/>
      </c>
      <c r="C171" s="0">
        <f>IFERROR(INDEX(lunar_ref!$B:$B,MATCH($A171,lunar_ref!$A:$A,0)),"")</f>
        <v/>
      </c>
      <c r="D171" s="0">
        <f>IFERROR(INDEX(lunar_ref!$C:$C,MATCH($A171,lunar_ref!$A:$A,0)),"")</f>
        <v/>
      </c>
      <c r="E171" s="0">
        <f>_xlfn.XLOOKUP($D171,lookup!$A:$A,lookup!$B:$B)</f>
        <v/>
      </c>
      <c r="F171" s="0">
        <f>IF($E171=1,"New",IF($E171=15,"Full",""))</f>
        <v/>
      </c>
      <c r="H171" s="0">
        <f>IF($E171="","",IF(OR($E171=8,$E171=14,$E171=15,$E171=23,$E172=1,$E173=1),"Fast day",""))</f>
        <v/>
      </c>
      <c r="I171" s="0">
        <f>IFERROR(INDEX(lookup!$E:$E,MATCH($C171,lookup!$D:$D,0)),"")</f>
        <v/>
      </c>
      <c r="J171" s="0">
        <f>IF($I171="","",IF(OR($I171=1,$I171=5,$I171=9),IF($K171="","Long fast month","Long fast month (LEAP)"),""))</f>
        <v/>
      </c>
      <c r="K171" s="0">
        <f>IFERROR(IF(INDEX(lookup!$G:$G,MATCH($C171,lookup!$D:$D,0))="LEAP","LEAP MONTH - counts as month "&amp;$I171&amp;", flagged for review",""),"")</f>
        <v/>
      </c>
    </row>
    <row r="172">
      <c r="A172" s="12">
        <f>A171+1</f>
        <v/>
      </c>
      <c r="B172" s="0">
        <f>TEXT(A172,"ddd")</f>
        <v/>
      </c>
      <c r="C172" s="0">
        <f>IFERROR(INDEX(lunar_ref!$B:$B,MATCH($A172,lunar_ref!$A:$A,0)),"")</f>
        <v/>
      </c>
      <c r="D172" s="0">
        <f>IFERROR(INDEX(lunar_ref!$C:$C,MATCH($A172,lunar_ref!$A:$A,0)),"")</f>
        <v/>
      </c>
      <c r="E172" s="0">
        <f>_xlfn.XLOOKUP($D172,lookup!$A:$A,lookup!$B:$B)</f>
        <v/>
      </c>
      <c r="F172" s="0">
        <f>IF($E172=1,"New",IF($E172=15,"Full",""))</f>
        <v/>
      </c>
      <c r="H172" s="0">
        <f>IF($E172="","",IF(OR($E172=8,$E172=14,$E172=15,$E172=23,$E173=1,$E174=1),"Fast day",""))</f>
        <v/>
      </c>
      <c r="I172" s="0">
        <f>IFERROR(INDEX(lookup!$E:$E,MATCH($C172,lookup!$D:$D,0)),"")</f>
        <v/>
      </c>
      <c r="J172" s="0">
        <f>IF($I172="","",IF(OR($I172=1,$I172=5,$I172=9),IF($K172="","Long fast month","Long fast month (LEAP)"),""))</f>
        <v/>
      </c>
      <c r="K172" s="0">
        <f>IFERROR(IF(INDEX(lookup!$G:$G,MATCH($C172,lookup!$D:$D,0))="LEAP","LEAP MONTH - counts as month "&amp;$I172&amp;", flagged for review",""),"")</f>
        <v/>
      </c>
    </row>
    <row r="173">
      <c r="A173" s="12">
        <f>A172+1</f>
        <v/>
      </c>
      <c r="B173" s="0">
        <f>TEXT(A173,"ddd")</f>
        <v/>
      </c>
      <c r="C173" s="0">
        <f>IFERROR(INDEX(lunar_ref!$B:$B,MATCH($A173,lunar_ref!$A:$A,0)),"")</f>
        <v/>
      </c>
      <c r="D173" s="0">
        <f>IFERROR(INDEX(lunar_ref!$C:$C,MATCH($A173,lunar_ref!$A:$A,0)),"")</f>
        <v/>
      </c>
      <c r="E173" s="0">
        <f>_xlfn.XLOOKUP($D173,lookup!$A:$A,lookup!$B:$B)</f>
        <v/>
      </c>
      <c r="F173" s="0">
        <f>IF($E173=1,"New",IF($E173=15,"Full",""))</f>
        <v/>
      </c>
      <c r="H173" s="0">
        <f>IF($E173="","",IF(OR($E173=8,$E173=14,$E173=15,$E173=23,$E174=1,$E175=1),"Fast day",""))</f>
        <v/>
      </c>
      <c r="I173" s="0">
        <f>IFERROR(INDEX(lookup!$E:$E,MATCH($C173,lookup!$D:$D,0)),"")</f>
        <v/>
      </c>
      <c r="J173" s="0">
        <f>IF($I173="","",IF(OR($I173=1,$I173=5,$I173=9),IF($K173="","Long fast month","Long fast month (LEAP)"),""))</f>
        <v/>
      </c>
      <c r="K173" s="0">
        <f>IFERROR(IF(INDEX(lookup!$G:$G,MATCH($C173,lookup!$D:$D,0))="LEAP","LEAP MONTH - counts as month "&amp;$I173&amp;", flagged for review",""),"")</f>
        <v/>
      </c>
    </row>
    <row r="174">
      <c r="A174" s="12">
        <f>A173+1</f>
        <v/>
      </c>
      <c r="B174" s="0">
        <f>TEXT(A174,"ddd")</f>
        <v/>
      </c>
      <c r="C174" s="0">
        <f>IFERROR(INDEX(lunar_ref!$B:$B,MATCH($A174,lunar_ref!$A:$A,0)),"")</f>
        <v/>
      </c>
      <c r="D174" s="0">
        <f>IFERROR(INDEX(lunar_ref!$C:$C,MATCH($A174,lunar_ref!$A:$A,0)),"")</f>
        <v/>
      </c>
      <c r="E174" s="0">
        <f>_xlfn.XLOOKUP($D174,lookup!$A:$A,lookup!$B:$B)</f>
        <v/>
      </c>
      <c r="F174" s="0">
        <f>IF($E174=1,"New",IF($E174=15,"Full",""))</f>
        <v/>
      </c>
      <c r="H174" s="0">
        <f>IF($E174="","",IF(OR($E174=8,$E174=14,$E174=15,$E174=23,$E175=1,$E176=1),"Fast day",""))</f>
        <v/>
      </c>
      <c r="I174" s="0">
        <f>IFERROR(INDEX(lookup!$E:$E,MATCH($C174,lookup!$D:$D,0)),"")</f>
        <v/>
      </c>
      <c r="J174" s="0">
        <f>IF($I174="","",IF(OR($I174=1,$I174=5,$I174=9),IF($K174="","Long fast month","Long fast month (LEAP)"),""))</f>
        <v/>
      </c>
      <c r="K174" s="0">
        <f>IFERROR(IF(INDEX(lookup!$G:$G,MATCH($C174,lookup!$D:$D,0))="LEAP","LEAP MONTH - counts as month "&amp;$I174&amp;", flagged for review",""),"")</f>
        <v/>
      </c>
    </row>
    <row r="175">
      <c r="A175" s="12">
        <f>A174+1</f>
        <v/>
      </c>
      <c r="B175" s="0">
        <f>TEXT(A175,"ddd")</f>
        <v/>
      </c>
      <c r="C175" s="0">
        <f>IFERROR(INDEX(lunar_ref!$B:$B,MATCH($A175,lunar_ref!$A:$A,0)),"")</f>
        <v/>
      </c>
      <c r="D175" s="0">
        <f>IFERROR(INDEX(lunar_ref!$C:$C,MATCH($A175,lunar_ref!$A:$A,0)),"")</f>
        <v/>
      </c>
      <c r="E175" s="0">
        <f>_xlfn.XLOOKUP($D175,lookup!$A:$A,lookup!$B:$B)</f>
        <v/>
      </c>
      <c r="F175" s="0">
        <f>IF($E175=1,"New",IF($E175=15,"Full",""))</f>
        <v/>
      </c>
      <c r="H175" s="0">
        <f>IF($E175="","",IF(OR($E175=8,$E175=14,$E175=15,$E175=23,$E176=1,$E177=1),"Fast day",""))</f>
        <v/>
      </c>
      <c r="I175" s="0">
        <f>IFERROR(INDEX(lookup!$E:$E,MATCH($C175,lookup!$D:$D,0)),"")</f>
        <v/>
      </c>
      <c r="J175" s="0">
        <f>IF($I175="","",IF(OR($I175=1,$I175=5,$I175=9),IF($K175="","Long fast month","Long fast month (LEAP)"),""))</f>
        <v/>
      </c>
      <c r="K175" s="0">
        <f>IFERROR(IF(INDEX(lookup!$G:$G,MATCH($C175,lookup!$D:$D,0))="LEAP","LEAP MONTH - counts as month "&amp;$I175&amp;", flagged for review",""),"")</f>
        <v/>
      </c>
    </row>
    <row r="176">
      <c r="A176" s="12">
        <f>A175+1</f>
        <v/>
      </c>
      <c r="B176" s="0">
        <f>TEXT(A176,"ddd")</f>
        <v/>
      </c>
      <c r="C176" s="0">
        <f>IFERROR(INDEX(lunar_ref!$B:$B,MATCH($A176,lunar_ref!$A:$A,0)),"")</f>
        <v/>
      </c>
      <c r="D176" s="0">
        <f>IFERROR(INDEX(lunar_ref!$C:$C,MATCH($A176,lunar_ref!$A:$A,0)),"")</f>
        <v/>
      </c>
      <c r="E176" s="0">
        <f>_xlfn.XLOOKUP($D176,lookup!$A:$A,lookup!$B:$B)</f>
        <v/>
      </c>
      <c r="F176" s="0">
        <f>IF($E176=1,"New",IF($E176=15,"Full",""))</f>
        <v/>
      </c>
      <c r="H176" s="0">
        <f>IF($E176="","",IF(OR($E176=8,$E176=14,$E176=15,$E176=23,$E177=1,$E178=1),"Fast day",""))</f>
        <v/>
      </c>
      <c r="I176" s="0">
        <f>IFERROR(INDEX(lookup!$E:$E,MATCH($C176,lookup!$D:$D,0)),"")</f>
        <v/>
      </c>
      <c r="J176" s="0">
        <f>IF($I176="","",IF(OR($I176=1,$I176=5,$I176=9),IF($K176="","Long fast month","Long fast month (LEAP)"),""))</f>
        <v/>
      </c>
      <c r="K176" s="0">
        <f>IFERROR(IF(INDEX(lookup!$G:$G,MATCH($C176,lookup!$D:$D,0))="LEAP","LEAP MONTH - counts as month "&amp;$I176&amp;", flagged for review",""),"")</f>
        <v/>
      </c>
    </row>
    <row r="177">
      <c r="A177" s="12">
        <f>A176+1</f>
        <v/>
      </c>
      <c r="B177" s="0">
        <f>TEXT(A177,"ddd")</f>
        <v/>
      </c>
      <c r="C177" s="0">
        <f>IFERROR(INDEX(lunar_ref!$B:$B,MATCH($A177,lunar_ref!$A:$A,0)),"")</f>
        <v/>
      </c>
      <c r="D177" s="0">
        <f>IFERROR(INDEX(lunar_ref!$C:$C,MATCH($A177,lunar_ref!$A:$A,0)),"")</f>
        <v/>
      </c>
      <c r="E177" s="0">
        <f>_xlfn.XLOOKUP($D177,lookup!$A:$A,lookup!$B:$B)</f>
        <v/>
      </c>
      <c r="F177" s="0">
        <f>IF($E177=1,"New",IF($E177=15,"Full",""))</f>
        <v/>
      </c>
      <c r="H177" s="0">
        <f>IF($E177="","",IF(OR($E177=8,$E177=14,$E177=15,$E177=23,$E178=1,$E179=1),"Fast day",""))</f>
        <v/>
      </c>
      <c r="I177" s="0">
        <f>IFERROR(INDEX(lookup!$E:$E,MATCH($C177,lookup!$D:$D,0)),"")</f>
        <v/>
      </c>
      <c r="J177" s="0">
        <f>IF($I177="","",IF(OR($I177=1,$I177=5,$I177=9),IF($K177="","Long fast month","Long fast month (LEAP)"),""))</f>
        <v/>
      </c>
      <c r="K177" s="0">
        <f>IFERROR(IF(INDEX(lookup!$G:$G,MATCH($C177,lookup!$D:$D,0))="LEAP","LEAP MONTH - counts as month "&amp;$I177&amp;", flagged for review",""),"")</f>
        <v/>
      </c>
    </row>
    <row r="178">
      <c r="A178" s="12">
        <f>A177+1</f>
        <v/>
      </c>
      <c r="B178" s="0">
        <f>TEXT(A178,"ddd")</f>
        <v/>
      </c>
      <c r="C178" s="0">
        <f>IFERROR(INDEX(lunar_ref!$B:$B,MATCH($A178,lunar_ref!$A:$A,0)),"")</f>
        <v/>
      </c>
      <c r="D178" s="0">
        <f>IFERROR(INDEX(lunar_ref!$C:$C,MATCH($A178,lunar_ref!$A:$A,0)),"")</f>
        <v/>
      </c>
      <c r="E178" s="0">
        <f>_xlfn.XLOOKUP($D178,lookup!$A:$A,lookup!$B:$B)</f>
        <v/>
      </c>
      <c r="F178" s="0">
        <f>IF($E178=1,"New",IF($E178=15,"Full",""))</f>
        <v/>
      </c>
      <c r="H178" s="0">
        <f>IF($E178="","",IF(OR($E178=8,$E178=14,$E178=15,$E178=23,$E179=1,$E180=1),"Fast day",""))</f>
        <v/>
      </c>
      <c r="I178" s="0">
        <f>IFERROR(INDEX(lookup!$E:$E,MATCH($C178,lookup!$D:$D,0)),"")</f>
        <v/>
      </c>
      <c r="J178" s="0">
        <f>IF($I178="","",IF(OR($I178=1,$I178=5,$I178=9),IF($K178="","Long fast month","Long fast month (LEAP)"),""))</f>
        <v/>
      </c>
      <c r="K178" s="0">
        <f>IFERROR(IF(INDEX(lookup!$G:$G,MATCH($C178,lookup!$D:$D,0))="LEAP","LEAP MONTH - counts as month "&amp;$I178&amp;", flagged for review",""),"")</f>
        <v/>
      </c>
    </row>
    <row r="179">
      <c r="A179" s="12">
        <f>A178+1</f>
        <v/>
      </c>
      <c r="B179" s="0">
        <f>TEXT(A179,"ddd")</f>
        <v/>
      </c>
      <c r="C179" s="0">
        <f>IFERROR(INDEX(lunar_ref!$B:$B,MATCH($A179,lunar_ref!$A:$A,0)),"")</f>
        <v/>
      </c>
      <c r="D179" s="0">
        <f>IFERROR(INDEX(lunar_ref!$C:$C,MATCH($A179,lunar_ref!$A:$A,0)),"")</f>
        <v/>
      </c>
      <c r="E179" s="0">
        <f>_xlfn.XLOOKUP($D179,lookup!$A:$A,lookup!$B:$B)</f>
        <v/>
      </c>
      <c r="F179" s="0">
        <f>IF($E179=1,"New",IF($E179=15,"Full",""))</f>
        <v/>
      </c>
      <c r="H179" s="0">
        <f>IF($E179="","",IF(OR($E179=8,$E179=14,$E179=15,$E179=23,$E180=1,$E181=1),"Fast day",""))</f>
        <v/>
      </c>
      <c r="I179" s="0">
        <f>IFERROR(INDEX(lookup!$E:$E,MATCH($C179,lookup!$D:$D,0)),"")</f>
        <v/>
      </c>
      <c r="J179" s="0">
        <f>IF($I179="","",IF(OR($I179=1,$I179=5,$I179=9),IF($K179="","Long fast month","Long fast month (LEAP)"),""))</f>
        <v/>
      </c>
      <c r="K179" s="0">
        <f>IFERROR(IF(INDEX(lookup!$G:$G,MATCH($C179,lookup!$D:$D,0))="LEAP","LEAP MONTH - counts as month "&amp;$I179&amp;", flagged for review",""),"")</f>
        <v/>
      </c>
    </row>
    <row r="180">
      <c r="A180" s="12">
        <f>A179+1</f>
        <v/>
      </c>
      <c r="B180" s="0">
        <f>TEXT(A180,"ddd")</f>
        <v/>
      </c>
      <c r="C180" s="0">
        <f>IFERROR(INDEX(lunar_ref!$B:$B,MATCH($A180,lunar_ref!$A:$A,0)),"")</f>
        <v/>
      </c>
      <c r="D180" s="0">
        <f>IFERROR(INDEX(lunar_ref!$C:$C,MATCH($A180,lunar_ref!$A:$A,0)),"")</f>
        <v/>
      </c>
      <c r="E180" s="0">
        <f>_xlfn.XLOOKUP($D180,lookup!$A:$A,lookup!$B:$B)</f>
        <v/>
      </c>
      <c r="F180" s="0">
        <f>IF($E180=1,"New",IF($E180=15,"Full",""))</f>
        <v/>
      </c>
      <c r="H180" s="0">
        <f>IF($E180="","",IF(OR($E180=8,$E180=14,$E180=15,$E180=23,$E181=1,$E182=1),"Fast day",""))</f>
        <v/>
      </c>
      <c r="I180" s="0">
        <f>IFERROR(INDEX(lookup!$E:$E,MATCH($C180,lookup!$D:$D,0)),"")</f>
        <v/>
      </c>
      <c r="J180" s="0">
        <f>IF($I180="","",IF(OR($I180=1,$I180=5,$I180=9),IF($K180="","Long fast month","Long fast month (LEAP)"),""))</f>
        <v/>
      </c>
      <c r="K180" s="0">
        <f>IFERROR(IF(INDEX(lookup!$G:$G,MATCH($C180,lookup!$D:$D,0))="LEAP","LEAP MONTH - counts as month "&amp;$I180&amp;", flagged for review",""),"")</f>
        <v/>
      </c>
    </row>
    <row r="181">
      <c r="A181" s="12">
        <f>A180+1</f>
        <v/>
      </c>
      <c r="B181" s="0">
        <f>TEXT(A181,"ddd")</f>
        <v/>
      </c>
      <c r="C181" s="0">
        <f>IFERROR(INDEX(lunar_ref!$B:$B,MATCH($A181,lunar_ref!$A:$A,0)),"")</f>
        <v/>
      </c>
      <c r="D181" s="0">
        <f>IFERROR(INDEX(lunar_ref!$C:$C,MATCH($A181,lunar_ref!$A:$A,0)),"")</f>
        <v/>
      </c>
      <c r="E181" s="0">
        <f>_xlfn.XLOOKUP($D181,lookup!$A:$A,lookup!$B:$B)</f>
        <v/>
      </c>
      <c r="F181" s="0">
        <f>IF($E181=1,"New",IF($E181=15,"Full",""))</f>
        <v/>
      </c>
      <c r="H181" s="0">
        <f>IF($E181="","",IF(OR($E181=8,$E181=14,$E181=15,$E181=23,$E182=1,$E183=1),"Fast day",""))</f>
        <v/>
      </c>
      <c r="I181" s="0">
        <f>IFERROR(INDEX(lookup!$E:$E,MATCH($C181,lookup!$D:$D,0)),"")</f>
        <v/>
      </c>
      <c r="J181" s="0">
        <f>IF($I181="","",IF(OR($I181=1,$I181=5,$I181=9),IF($K181="","Long fast month","Long fast month (LEAP)"),""))</f>
        <v/>
      </c>
      <c r="K181" s="0">
        <f>IFERROR(IF(INDEX(lookup!$G:$G,MATCH($C181,lookup!$D:$D,0))="LEAP","LEAP MONTH - counts as month "&amp;$I181&amp;", flagged for review",""),"")</f>
        <v/>
      </c>
    </row>
    <row r="182">
      <c r="A182" s="12">
        <f>A181+1</f>
        <v/>
      </c>
      <c r="B182" s="0">
        <f>TEXT(A182,"ddd")</f>
        <v/>
      </c>
      <c r="C182" s="0">
        <f>IFERROR(INDEX(lunar_ref!$B:$B,MATCH($A182,lunar_ref!$A:$A,0)),"")</f>
        <v/>
      </c>
      <c r="D182" s="0">
        <f>IFERROR(INDEX(lunar_ref!$C:$C,MATCH($A182,lunar_ref!$A:$A,0)),"")</f>
        <v/>
      </c>
      <c r="E182" s="0">
        <f>_xlfn.XLOOKUP($D182,lookup!$A:$A,lookup!$B:$B)</f>
        <v/>
      </c>
      <c r="F182" s="0">
        <f>IF($E182=1,"New",IF($E182=15,"Full",""))</f>
        <v/>
      </c>
      <c r="H182" s="0">
        <f>IF($E182="","",IF(OR($E182=8,$E182=14,$E182=15,$E182=23,$E183=1,$E184=1),"Fast day",""))</f>
        <v/>
      </c>
      <c r="I182" s="0">
        <f>IFERROR(INDEX(lookup!$E:$E,MATCH($C182,lookup!$D:$D,0)),"")</f>
        <v/>
      </c>
      <c r="J182" s="0">
        <f>IF($I182="","",IF(OR($I182=1,$I182=5,$I182=9),IF($K182="","Long fast month","Long fast month (LEAP)"),""))</f>
        <v/>
      </c>
      <c r="K182" s="0">
        <f>IFERROR(IF(INDEX(lookup!$G:$G,MATCH($C182,lookup!$D:$D,0))="LEAP","LEAP MONTH - counts as month "&amp;$I182&amp;", flagged for review",""),"")</f>
        <v/>
      </c>
    </row>
    <row r="183">
      <c r="A183" s="12">
        <f>A182+1</f>
        <v/>
      </c>
      <c r="B183" s="0">
        <f>TEXT(A183,"ddd")</f>
        <v/>
      </c>
      <c r="C183" s="0">
        <f>IFERROR(INDEX(lunar_ref!$B:$B,MATCH($A183,lunar_ref!$A:$A,0)),"")</f>
        <v/>
      </c>
      <c r="D183" s="0">
        <f>IFERROR(INDEX(lunar_ref!$C:$C,MATCH($A183,lunar_ref!$A:$A,0)),"")</f>
        <v/>
      </c>
      <c r="E183" s="0">
        <f>_xlfn.XLOOKUP($D183,lookup!$A:$A,lookup!$B:$B)</f>
        <v/>
      </c>
      <c r="F183" s="0">
        <f>IF($E183=1,"New",IF($E183=15,"Full",""))</f>
        <v/>
      </c>
      <c r="H183" s="0">
        <f>IF($E183="","",IF(OR($E183=8,$E183=14,$E183=15,$E183=23,$E184=1,$E185=1),"Fast day",""))</f>
        <v/>
      </c>
      <c r="I183" s="0">
        <f>IFERROR(INDEX(lookup!$E:$E,MATCH($C183,lookup!$D:$D,0)),"")</f>
        <v/>
      </c>
      <c r="J183" s="0">
        <f>IF($I183="","",IF(OR($I183=1,$I183=5,$I183=9),IF($K183="","Long fast month","Long fast month (LEAP)"),""))</f>
        <v/>
      </c>
      <c r="K183" s="0">
        <f>IFERROR(IF(INDEX(lookup!$G:$G,MATCH($C183,lookup!$D:$D,0))="LEAP","LEAP MONTH - counts as month "&amp;$I183&amp;", flagged for review",""),"")</f>
        <v/>
      </c>
    </row>
    <row r="184">
      <c r="A184" s="12">
        <f>A183+1</f>
        <v/>
      </c>
      <c r="B184" s="0">
        <f>TEXT(A184,"ddd")</f>
        <v/>
      </c>
      <c r="C184" s="0">
        <f>IFERROR(INDEX(lunar_ref!$B:$B,MATCH($A184,lunar_ref!$A:$A,0)),"")</f>
        <v/>
      </c>
      <c r="D184" s="0">
        <f>IFERROR(INDEX(lunar_ref!$C:$C,MATCH($A184,lunar_ref!$A:$A,0)),"")</f>
        <v/>
      </c>
      <c r="E184" s="0">
        <f>_xlfn.XLOOKUP($D184,lookup!$A:$A,lookup!$B:$B)</f>
        <v/>
      </c>
      <c r="F184" s="0">
        <f>IF($E184=1,"New",IF($E184=15,"Full",""))</f>
        <v/>
      </c>
      <c r="H184" s="0">
        <f>IF($E184="","",IF(OR($E184=8,$E184=14,$E184=15,$E184=23,$E185=1,$E186=1),"Fast day",""))</f>
        <v/>
      </c>
      <c r="I184" s="0">
        <f>IFERROR(INDEX(lookup!$E:$E,MATCH($C184,lookup!$D:$D,0)),"")</f>
        <v/>
      </c>
      <c r="J184" s="0">
        <f>IF($I184="","",IF(OR($I184=1,$I184=5,$I184=9),IF($K184="","Long fast month","Long fast month (LEAP)"),""))</f>
        <v/>
      </c>
      <c r="K184" s="0">
        <f>IFERROR(IF(INDEX(lookup!$G:$G,MATCH($C184,lookup!$D:$D,0))="LEAP","LEAP MONTH - counts as month "&amp;$I184&amp;", flagged for review",""),"")</f>
        <v/>
      </c>
    </row>
    <row r="185">
      <c r="A185" s="12">
        <f>A184+1</f>
        <v/>
      </c>
      <c r="B185" s="0">
        <f>TEXT(A185,"ddd")</f>
        <v/>
      </c>
      <c r="C185" s="0">
        <f>IFERROR(INDEX(lunar_ref!$B:$B,MATCH($A185,lunar_ref!$A:$A,0)),"")</f>
        <v/>
      </c>
      <c r="D185" s="0">
        <f>IFERROR(INDEX(lunar_ref!$C:$C,MATCH($A185,lunar_ref!$A:$A,0)),"")</f>
        <v/>
      </c>
      <c r="E185" s="0">
        <f>_xlfn.XLOOKUP($D185,lookup!$A:$A,lookup!$B:$B)</f>
        <v/>
      </c>
      <c r="F185" s="0">
        <f>IF($E185=1,"New",IF($E185=15,"Full",""))</f>
        <v/>
      </c>
      <c r="H185" s="0">
        <f>IF($E185="","",IF(OR($E185=8,$E185=14,$E185=15,$E185=23,$E186=1,$E187=1),"Fast day",""))</f>
        <v/>
      </c>
      <c r="I185" s="0">
        <f>IFERROR(INDEX(lookup!$E:$E,MATCH($C185,lookup!$D:$D,0)),"")</f>
        <v/>
      </c>
      <c r="J185" s="0">
        <f>IF($I185="","",IF(OR($I185=1,$I185=5,$I185=9),IF($K185="","Long fast month","Long fast month (LEAP)"),""))</f>
        <v/>
      </c>
      <c r="K185" s="0">
        <f>IFERROR(IF(INDEX(lookup!$G:$G,MATCH($C185,lookup!$D:$D,0))="LEAP","LEAP MONTH - counts as month "&amp;$I185&amp;", flagged for review",""),"")</f>
        <v/>
      </c>
    </row>
    <row r="186">
      <c r="A186" s="12">
        <f>A185+1</f>
        <v/>
      </c>
      <c r="B186" s="0">
        <f>TEXT(A186,"ddd")</f>
        <v/>
      </c>
      <c r="C186" s="0">
        <f>IFERROR(INDEX(lunar_ref!$B:$B,MATCH($A186,lunar_ref!$A:$A,0)),"")</f>
        <v/>
      </c>
      <c r="D186" s="0">
        <f>IFERROR(INDEX(lunar_ref!$C:$C,MATCH($A186,lunar_ref!$A:$A,0)),"")</f>
        <v/>
      </c>
      <c r="E186" s="0">
        <f>_xlfn.XLOOKUP($D186,lookup!$A:$A,lookup!$B:$B)</f>
        <v/>
      </c>
      <c r="F186" s="0">
        <f>IF($E186=1,"New",IF($E186=15,"Full",""))</f>
        <v/>
      </c>
      <c r="H186" s="0">
        <f>IF($E186="","",IF(OR($E186=8,$E186=14,$E186=15,$E186=23,$E187=1,$E188=1),"Fast day",""))</f>
        <v/>
      </c>
      <c r="I186" s="0">
        <f>IFERROR(INDEX(lookup!$E:$E,MATCH($C186,lookup!$D:$D,0)),"")</f>
        <v/>
      </c>
      <c r="J186" s="0">
        <f>IF($I186="","",IF(OR($I186=1,$I186=5,$I186=9),IF($K186="","Long fast month","Long fast month (LEAP)"),""))</f>
        <v/>
      </c>
      <c r="K186" s="0">
        <f>IFERROR(IF(INDEX(lookup!$G:$G,MATCH($C186,lookup!$D:$D,0))="LEAP","LEAP MONTH - counts as month "&amp;$I186&amp;", flagged for review",""),"")</f>
        <v/>
      </c>
    </row>
    <row r="187">
      <c r="A187" s="12">
        <f>A186+1</f>
        <v/>
      </c>
      <c r="B187" s="0">
        <f>TEXT(A187,"ddd")</f>
        <v/>
      </c>
      <c r="C187" s="0">
        <f>IFERROR(INDEX(lunar_ref!$B:$B,MATCH($A187,lunar_ref!$A:$A,0)),"")</f>
        <v/>
      </c>
      <c r="D187" s="0">
        <f>IFERROR(INDEX(lunar_ref!$C:$C,MATCH($A187,lunar_ref!$A:$A,0)),"")</f>
        <v/>
      </c>
      <c r="E187" s="0">
        <f>_xlfn.XLOOKUP($D187,lookup!$A:$A,lookup!$B:$B)</f>
        <v/>
      </c>
      <c r="F187" s="0">
        <f>IF($E187=1,"New",IF($E187=15,"Full",""))</f>
        <v/>
      </c>
      <c r="H187" s="0">
        <f>IF($E187="","",IF(OR($E187=8,$E187=14,$E187=15,$E187=23,$E188=1,$E189=1),"Fast day",""))</f>
        <v/>
      </c>
      <c r="I187" s="0">
        <f>IFERROR(INDEX(lookup!$E:$E,MATCH($C187,lookup!$D:$D,0)),"")</f>
        <v/>
      </c>
      <c r="J187" s="0">
        <f>IF($I187="","",IF(OR($I187=1,$I187=5,$I187=9),IF($K187="","Long fast month","Long fast month (LEAP)"),""))</f>
        <v/>
      </c>
      <c r="K187" s="0">
        <f>IFERROR(IF(INDEX(lookup!$G:$G,MATCH($C187,lookup!$D:$D,0))="LEAP","LEAP MONTH - counts as month "&amp;$I187&amp;", flagged for review",""),"")</f>
        <v/>
      </c>
    </row>
    <row r="188">
      <c r="A188" s="12">
        <f>A187+1</f>
        <v/>
      </c>
      <c r="B188" s="0">
        <f>TEXT(A188,"ddd")</f>
        <v/>
      </c>
      <c r="C188" s="0">
        <f>IFERROR(INDEX(lunar_ref!$B:$B,MATCH($A188,lunar_ref!$A:$A,0)),"")</f>
        <v/>
      </c>
      <c r="D188" s="0">
        <f>IFERROR(INDEX(lunar_ref!$C:$C,MATCH($A188,lunar_ref!$A:$A,0)),"")</f>
        <v/>
      </c>
      <c r="E188" s="0">
        <f>_xlfn.XLOOKUP($D188,lookup!$A:$A,lookup!$B:$B)</f>
        <v/>
      </c>
      <c r="F188" s="0">
        <f>IF($E188=1,"New",IF($E188=15,"Full",""))</f>
        <v/>
      </c>
      <c r="H188" s="0">
        <f>IF($E188="","",IF(OR($E188=8,$E188=14,$E188=15,$E188=23,$E189=1,$E190=1),"Fast day",""))</f>
        <v/>
      </c>
      <c r="I188" s="0">
        <f>IFERROR(INDEX(lookup!$E:$E,MATCH($C188,lookup!$D:$D,0)),"")</f>
        <v/>
      </c>
      <c r="J188" s="0">
        <f>IF($I188="","",IF(OR($I188=1,$I188=5,$I188=9),IF($K188="","Long fast month","Long fast month (LEAP)"),""))</f>
        <v/>
      </c>
      <c r="K188" s="0">
        <f>IFERROR(IF(INDEX(lookup!$G:$G,MATCH($C188,lookup!$D:$D,0))="LEAP","LEAP MONTH - counts as month "&amp;$I188&amp;", flagged for review",""),"")</f>
        <v/>
      </c>
    </row>
    <row r="189">
      <c r="A189" s="12">
        <f>A188+1</f>
        <v/>
      </c>
      <c r="B189" s="0">
        <f>TEXT(A189,"ddd")</f>
        <v/>
      </c>
      <c r="C189" s="0">
        <f>IFERROR(INDEX(lunar_ref!$B:$B,MATCH($A189,lunar_ref!$A:$A,0)),"")</f>
        <v/>
      </c>
      <c r="D189" s="0">
        <f>IFERROR(INDEX(lunar_ref!$C:$C,MATCH($A189,lunar_ref!$A:$A,0)),"")</f>
        <v/>
      </c>
      <c r="E189" s="0">
        <f>_xlfn.XLOOKUP($D189,lookup!$A:$A,lookup!$B:$B)</f>
        <v/>
      </c>
      <c r="F189" s="0">
        <f>IF($E189=1,"New",IF($E189=15,"Full",""))</f>
        <v/>
      </c>
      <c r="H189" s="0">
        <f>IF($E189="","",IF(OR($E189=8,$E189=14,$E189=15,$E189=23,$E190=1,$E191=1),"Fast day",""))</f>
        <v/>
      </c>
      <c r="I189" s="0">
        <f>IFERROR(INDEX(lookup!$E:$E,MATCH($C189,lookup!$D:$D,0)),"")</f>
        <v/>
      </c>
      <c r="J189" s="0">
        <f>IF($I189="","",IF(OR($I189=1,$I189=5,$I189=9),IF($K189="","Long fast month","Long fast month (LEAP)"),""))</f>
        <v/>
      </c>
      <c r="K189" s="0">
        <f>IFERROR(IF(INDEX(lookup!$G:$G,MATCH($C189,lookup!$D:$D,0))="LEAP","LEAP MONTH - counts as month "&amp;$I189&amp;", flagged for review",""),"")</f>
        <v/>
      </c>
    </row>
    <row r="190">
      <c r="A190" s="12">
        <f>A189+1</f>
        <v/>
      </c>
      <c r="B190" s="0">
        <f>TEXT(A190,"ddd")</f>
        <v/>
      </c>
      <c r="C190" s="0">
        <f>IFERROR(INDEX(lunar_ref!$B:$B,MATCH($A190,lunar_ref!$A:$A,0)),"")</f>
        <v/>
      </c>
      <c r="D190" s="0">
        <f>IFERROR(INDEX(lunar_ref!$C:$C,MATCH($A190,lunar_ref!$A:$A,0)),"")</f>
        <v/>
      </c>
      <c r="E190" s="0">
        <f>_xlfn.XLOOKUP($D190,lookup!$A:$A,lookup!$B:$B)</f>
        <v/>
      </c>
      <c r="F190" s="0">
        <f>IF($E190=1,"New",IF($E190=15,"Full",""))</f>
        <v/>
      </c>
      <c r="H190" s="0">
        <f>IF($E190="","",IF(OR($E190=8,$E190=14,$E190=15,$E190=23,$E191=1,$E192=1),"Fast day",""))</f>
        <v/>
      </c>
      <c r="I190" s="0">
        <f>IFERROR(INDEX(lookup!$E:$E,MATCH($C190,lookup!$D:$D,0)),"")</f>
        <v/>
      </c>
      <c r="J190" s="0">
        <f>IF($I190="","",IF(OR($I190=1,$I190=5,$I190=9),IF($K190="","Long fast month","Long fast month (LEAP)"),""))</f>
        <v/>
      </c>
      <c r="K190" s="0">
        <f>IFERROR(IF(INDEX(lookup!$G:$G,MATCH($C190,lookup!$D:$D,0))="LEAP","LEAP MONTH - counts as month "&amp;$I190&amp;", flagged for review",""),"")</f>
        <v/>
      </c>
    </row>
    <row r="191">
      <c r="A191" s="12">
        <f>A190+1</f>
        <v/>
      </c>
      <c r="B191" s="0">
        <f>TEXT(A191,"ddd")</f>
        <v/>
      </c>
      <c r="C191" s="0">
        <f>IFERROR(INDEX(lunar_ref!$B:$B,MATCH($A191,lunar_ref!$A:$A,0)),"")</f>
        <v/>
      </c>
      <c r="D191" s="0">
        <f>IFERROR(INDEX(lunar_ref!$C:$C,MATCH($A191,lunar_ref!$A:$A,0)),"")</f>
        <v/>
      </c>
      <c r="E191" s="0">
        <f>_xlfn.XLOOKUP($D191,lookup!$A:$A,lookup!$B:$B)</f>
        <v/>
      </c>
      <c r="F191" s="0">
        <f>IF($E191=1,"New",IF($E191=15,"Full",""))</f>
        <v/>
      </c>
      <c r="H191" s="0">
        <f>IF($E191="","",IF(OR($E191=8,$E191=14,$E191=15,$E191=23,$E192=1,$E193=1),"Fast day",""))</f>
        <v/>
      </c>
      <c r="I191" s="0">
        <f>IFERROR(INDEX(lookup!$E:$E,MATCH($C191,lookup!$D:$D,0)),"")</f>
        <v/>
      </c>
      <c r="J191" s="0">
        <f>IF($I191="","",IF(OR($I191=1,$I191=5,$I191=9),IF($K191="","Long fast month","Long fast month (LEAP)"),""))</f>
        <v/>
      </c>
      <c r="K191" s="0">
        <f>IFERROR(IF(INDEX(lookup!$G:$G,MATCH($C191,lookup!$D:$D,0))="LEAP","LEAP MONTH - counts as month "&amp;$I191&amp;", flagged for review",""),"")</f>
        <v/>
      </c>
    </row>
    <row r="192">
      <c r="A192" s="12">
        <f>A191+1</f>
        <v/>
      </c>
      <c r="B192" s="0">
        <f>TEXT(A192,"ddd")</f>
        <v/>
      </c>
      <c r="C192" s="0">
        <f>IFERROR(INDEX(lunar_ref!$B:$B,MATCH($A192,lunar_ref!$A:$A,0)),"")</f>
        <v/>
      </c>
      <c r="D192" s="0">
        <f>IFERROR(INDEX(lunar_ref!$C:$C,MATCH($A192,lunar_ref!$A:$A,0)),"")</f>
        <v/>
      </c>
      <c r="E192" s="0">
        <f>_xlfn.XLOOKUP($D192,lookup!$A:$A,lookup!$B:$B)</f>
        <v/>
      </c>
      <c r="F192" s="0">
        <f>IF($E192=1,"New",IF($E192=15,"Full",""))</f>
        <v/>
      </c>
      <c r="H192" s="0">
        <f>IF($E192="","",IF(OR($E192=8,$E192=14,$E192=15,$E192=23,$E193=1,$E194=1),"Fast day",""))</f>
        <v/>
      </c>
      <c r="I192" s="0">
        <f>IFERROR(INDEX(lookup!$E:$E,MATCH($C192,lookup!$D:$D,0)),"")</f>
        <v/>
      </c>
      <c r="J192" s="0">
        <f>IF($I192="","",IF(OR($I192=1,$I192=5,$I192=9),IF($K192="","Long fast month","Long fast month (LEAP)"),""))</f>
        <v/>
      </c>
      <c r="K192" s="0">
        <f>IFERROR(IF(INDEX(lookup!$G:$G,MATCH($C192,lookup!$D:$D,0))="LEAP","LEAP MONTH - counts as month "&amp;$I192&amp;", flagged for review",""),"")</f>
        <v/>
      </c>
    </row>
    <row r="193">
      <c r="A193" s="12">
        <f>A192+1</f>
        <v/>
      </c>
      <c r="B193" s="0">
        <f>TEXT(A193,"ddd")</f>
        <v/>
      </c>
      <c r="C193" s="0">
        <f>IFERROR(INDEX(lunar_ref!$B:$B,MATCH($A193,lunar_ref!$A:$A,0)),"")</f>
        <v/>
      </c>
      <c r="D193" s="0">
        <f>IFERROR(INDEX(lunar_ref!$C:$C,MATCH($A193,lunar_ref!$A:$A,0)),"")</f>
        <v/>
      </c>
      <c r="E193" s="0">
        <f>_xlfn.XLOOKUP($D193,lookup!$A:$A,lookup!$B:$B)</f>
        <v/>
      </c>
      <c r="F193" s="0">
        <f>IF($E193=1,"New",IF($E193=15,"Full",""))</f>
        <v/>
      </c>
      <c r="H193" s="0">
        <f>IF($E193="","",IF(OR($E193=8,$E193=14,$E193=15,$E193=23,$E194=1,$E195=1),"Fast day",""))</f>
        <v/>
      </c>
      <c r="I193" s="0">
        <f>IFERROR(INDEX(lookup!$E:$E,MATCH($C193,lookup!$D:$D,0)),"")</f>
        <v/>
      </c>
      <c r="J193" s="0">
        <f>IF($I193="","",IF(OR($I193=1,$I193=5,$I193=9),IF($K193="","Long fast month","Long fast month (LEAP)"),""))</f>
        <v/>
      </c>
      <c r="K193" s="0">
        <f>IFERROR(IF(INDEX(lookup!$G:$G,MATCH($C193,lookup!$D:$D,0))="LEAP","LEAP MONTH - counts as month "&amp;$I193&amp;", flagged for review",""),"")</f>
        <v/>
      </c>
    </row>
    <row r="194">
      <c r="A194" s="12">
        <f>A193+1</f>
        <v/>
      </c>
      <c r="B194" s="0">
        <f>TEXT(A194,"ddd")</f>
        <v/>
      </c>
      <c r="C194" s="0">
        <f>IFERROR(INDEX(lunar_ref!$B:$B,MATCH($A194,lunar_ref!$A:$A,0)),"")</f>
        <v/>
      </c>
      <c r="D194" s="0">
        <f>IFERROR(INDEX(lunar_ref!$C:$C,MATCH($A194,lunar_ref!$A:$A,0)),"")</f>
        <v/>
      </c>
      <c r="E194" s="0">
        <f>_xlfn.XLOOKUP($D194,lookup!$A:$A,lookup!$B:$B)</f>
        <v/>
      </c>
      <c r="F194" s="0">
        <f>IF($E194=1,"New",IF($E194=15,"Full",""))</f>
        <v/>
      </c>
      <c r="H194" s="0">
        <f>IF($E194="","",IF(OR($E194=8,$E194=14,$E194=15,$E194=23,$E195=1,$E196=1),"Fast day",""))</f>
        <v/>
      </c>
      <c r="I194" s="0">
        <f>IFERROR(INDEX(lookup!$E:$E,MATCH($C194,lookup!$D:$D,0)),"")</f>
        <v/>
      </c>
      <c r="J194" s="0">
        <f>IF($I194="","",IF(OR($I194=1,$I194=5,$I194=9),IF($K194="","Long fast month","Long fast month (LEAP)"),""))</f>
        <v/>
      </c>
      <c r="K194" s="0">
        <f>IFERROR(IF(INDEX(lookup!$G:$G,MATCH($C194,lookup!$D:$D,0))="LEAP","LEAP MONTH - counts as month "&amp;$I194&amp;", flagged for review",""),"")</f>
        <v/>
      </c>
    </row>
    <row r="195">
      <c r="A195" s="12">
        <f>A194+1</f>
        <v/>
      </c>
      <c r="B195" s="0">
        <f>TEXT(A195,"ddd")</f>
        <v/>
      </c>
      <c r="C195" s="0">
        <f>IFERROR(INDEX(lunar_ref!$B:$B,MATCH($A195,lunar_ref!$A:$A,0)),"")</f>
        <v/>
      </c>
      <c r="D195" s="0">
        <f>IFERROR(INDEX(lunar_ref!$C:$C,MATCH($A195,lunar_ref!$A:$A,0)),"")</f>
        <v/>
      </c>
      <c r="E195" s="0">
        <f>_xlfn.XLOOKUP($D195,lookup!$A:$A,lookup!$B:$B)</f>
        <v/>
      </c>
      <c r="F195" s="0">
        <f>IF($E195=1,"New",IF($E195=15,"Full",""))</f>
        <v/>
      </c>
      <c r="H195" s="0">
        <f>IF($E195="","",IF(OR($E195=8,$E195=14,$E195=15,$E195=23,$E196=1,$E197=1),"Fast day",""))</f>
        <v/>
      </c>
      <c r="I195" s="0">
        <f>IFERROR(INDEX(lookup!$E:$E,MATCH($C195,lookup!$D:$D,0)),"")</f>
        <v/>
      </c>
      <c r="J195" s="0">
        <f>IF($I195="","",IF(OR($I195=1,$I195=5,$I195=9),IF($K195="","Long fast month","Long fast month (LEAP)"),""))</f>
        <v/>
      </c>
      <c r="K195" s="0">
        <f>IFERROR(IF(INDEX(lookup!$G:$G,MATCH($C195,lookup!$D:$D,0))="LEAP","LEAP MONTH - counts as month "&amp;$I195&amp;", flagged for review",""),"")</f>
        <v/>
      </c>
    </row>
    <row r="196">
      <c r="A196" s="12">
        <f>A195+1</f>
        <v/>
      </c>
      <c r="B196" s="0">
        <f>TEXT(A196,"ddd")</f>
        <v/>
      </c>
      <c r="C196" s="0">
        <f>IFERROR(INDEX(lunar_ref!$B:$B,MATCH($A196,lunar_ref!$A:$A,0)),"")</f>
        <v/>
      </c>
      <c r="D196" s="0">
        <f>IFERROR(INDEX(lunar_ref!$C:$C,MATCH($A196,lunar_ref!$A:$A,0)),"")</f>
        <v/>
      </c>
      <c r="E196" s="0">
        <f>_xlfn.XLOOKUP($D196,lookup!$A:$A,lookup!$B:$B)</f>
        <v/>
      </c>
      <c r="F196" s="0">
        <f>IF($E196=1,"New",IF($E196=15,"Full",""))</f>
        <v/>
      </c>
      <c r="H196" s="0">
        <f>IF($E196="","",IF(OR($E196=8,$E196=14,$E196=15,$E196=23,$E197=1,$E198=1),"Fast day",""))</f>
        <v/>
      </c>
      <c r="I196" s="0">
        <f>IFERROR(INDEX(lookup!$E:$E,MATCH($C196,lookup!$D:$D,0)),"")</f>
        <v/>
      </c>
      <c r="J196" s="0">
        <f>IF($I196="","",IF(OR($I196=1,$I196=5,$I196=9),IF($K196="","Long fast month","Long fast month (LEAP)"),""))</f>
        <v/>
      </c>
      <c r="K196" s="0">
        <f>IFERROR(IF(INDEX(lookup!$G:$G,MATCH($C196,lookup!$D:$D,0))="LEAP","LEAP MONTH - counts as month "&amp;$I196&amp;", flagged for review",""),"")</f>
        <v/>
      </c>
    </row>
    <row r="197">
      <c r="A197" s="12">
        <f>A196+1</f>
        <v/>
      </c>
      <c r="B197" s="0">
        <f>TEXT(A197,"ddd")</f>
        <v/>
      </c>
      <c r="C197" s="0">
        <f>IFERROR(INDEX(lunar_ref!$B:$B,MATCH($A197,lunar_ref!$A:$A,0)),"")</f>
        <v/>
      </c>
      <c r="D197" s="0">
        <f>IFERROR(INDEX(lunar_ref!$C:$C,MATCH($A197,lunar_ref!$A:$A,0)),"")</f>
        <v/>
      </c>
      <c r="E197" s="0">
        <f>_xlfn.XLOOKUP($D197,lookup!$A:$A,lookup!$B:$B)</f>
        <v/>
      </c>
      <c r="F197" s="0">
        <f>IF($E197=1,"New",IF($E197=15,"Full",""))</f>
        <v/>
      </c>
      <c r="H197" s="0">
        <f>IF($E197="","",IF(OR($E197=8,$E197=14,$E197=15,$E197=23,$E198=1,$E199=1),"Fast day",""))</f>
        <v/>
      </c>
      <c r="I197" s="0">
        <f>IFERROR(INDEX(lookup!$E:$E,MATCH($C197,lookup!$D:$D,0)),"")</f>
        <v/>
      </c>
      <c r="J197" s="0">
        <f>IF($I197="","",IF(OR($I197=1,$I197=5,$I197=9),IF($K197="","Long fast month","Long fast month (LEAP)"),""))</f>
        <v/>
      </c>
      <c r="K197" s="0">
        <f>IFERROR(IF(INDEX(lookup!$G:$G,MATCH($C197,lookup!$D:$D,0))="LEAP","LEAP MONTH - counts as month "&amp;$I197&amp;", flagged for review",""),"")</f>
        <v/>
      </c>
    </row>
    <row r="198">
      <c r="A198" s="12">
        <f>A197+1</f>
        <v/>
      </c>
      <c r="B198" s="0">
        <f>TEXT(A198,"ddd")</f>
        <v/>
      </c>
      <c r="C198" s="0">
        <f>IFERROR(INDEX(lunar_ref!$B:$B,MATCH($A198,lunar_ref!$A:$A,0)),"")</f>
        <v/>
      </c>
      <c r="D198" s="0">
        <f>IFERROR(INDEX(lunar_ref!$C:$C,MATCH($A198,lunar_ref!$A:$A,0)),"")</f>
        <v/>
      </c>
      <c r="E198" s="0">
        <f>_xlfn.XLOOKUP($D198,lookup!$A:$A,lookup!$B:$B)</f>
        <v/>
      </c>
      <c r="F198" s="0">
        <f>IF($E198=1,"New",IF($E198=15,"Full",""))</f>
        <v/>
      </c>
      <c r="H198" s="0">
        <f>IF($E198="","",IF(OR($E198=8,$E198=14,$E198=15,$E198=23,$E199=1,$E200=1),"Fast day",""))</f>
        <v/>
      </c>
      <c r="I198" s="0">
        <f>IFERROR(INDEX(lookup!$E:$E,MATCH($C198,lookup!$D:$D,0)),"")</f>
        <v/>
      </c>
      <c r="J198" s="0">
        <f>IF($I198="","",IF(OR($I198=1,$I198=5,$I198=9),IF($K198="","Long fast month","Long fast month (LEAP)"),""))</f>
        <v/>
      </c>
      <c r="K198" s="0">
        <f>IFERROR(IF(INDEX(lookup!$G:$G,MATCH($C198,lookup!$D:$D,0))="LEAP","LEAP MONTH - counts as month "&amp;$I198&amp;", flagged for review",""),"")</f>
        <v/>
      </c>
    </row>
    <row r="199">
      <c r="A199" s="12">
        <f>A198+1</f>
        <v/>
      </c>
      <c r="B199" s="0">
        <f>TEXT(A199,"ddd")</f>
        <v/>
      </c>
      <c r="C199" s="0">
        <f>IFERROR(INDEX(lunar_ref!$B:$B,MATCH($A199,lunar_ref!$A:$A,0)),"")</f>
        <v/>
      </c>
      <c r="D199" s="0">
        <f>IFERROR(INDEX(lunar_ref!$C:$C,MATCH($A199,lunar_ref!$A:$A,0)),"")</f>
        <v/>
      </c>
      <c r="E199" s="0">
        <f>_xlfn.XLOOKUP($D199,lookup!$A:$A,lookup!$B:$B)</f>
        <v/>
      </c>
      <c r="F199" s="0">
        <f>IF($E199=1,"New",IF($E199=15,"Full",""))</f>
        <v/>
      </c>
      <c r="H199" s="0">
        <f>IF($E199="","",IF(OR($E199=8,$E199=14,$E199=15,$E199=23,$E200=1,$E201=1),"Fast day",""))</f>
        <v/>
      </c>
      <c r="I199" s="0">
        <f>IFERROR(INDEX(lookup!$E:$E,MATCH($C199,lookup!$D:$D,0)),"")</f>
        <v/>
      </c>
      <c r="J199" s="0">
        <f>IF($I199="","",IF(OR($I199=1,$I199=5,$I199=9),IF($K199="","Long fast month","Long fast month (LEAP)"),""))</f>
        <v/>
      </c>
      <c r="K199" s="0">
        <f>IFERROR(IF(INDEX(lookup!$G:$G,MATCH($C199,lookup!$D:$D,0))="LEAP","LEAP MONTH - counts as month "&amp;$I199&amp;", flagged for review",""),"")</f>
        <v/>
      </c>
    </row>
    <row r="200">
      <c r="A200" s="12">
        <f>A199+1</f>
        <v/>
      </c>
      <c r="B200" s="0">
        <f>TEXT(A200,"ddd")</f>
        <v/>
      </c>
      <c r="C200" s="0">
        <f>IFERROR(INDEX(lunar_ref!$B:$B,MATCH($A200,lunar_ref!$A:$A,0)),"")</f>
        <v/>
      </c>
      <c r="D200" s="0">
        <f>IFERROR(INDEX(lunar_ref!$C:$C,MATCH($A200,lunar_ref!$A:$A,0)),"")</f>
        <v/>
      </c>
      <c r="E200" s="0">
        <f>_xlfn.XLOOKUP($D200,lookup!$A:$A,lookup!$B:$B)</f>
        <v/>
      </c>
      <c r="F200" s="0">
        <f>IF($E200=1,"New",IF($E200=15,"Full",""))</f>
        <v/>
      </c>
      <c r="H200" s="0">
        <f>IF($E200="","",IF(OR($E200=8,$E200=14,$E200=15,$E200=23,$E201=1,$E202=1),"Fast day",""))</f>
        <v/>
      </c>
      <c r="I200" s="0">
        <f>IFERROR(INDEX(lookup!$E:$E,MATCH($C200,lookup!$D:$D,0)),"")</f>
        <v/>
      </c>
      <c r="J200" s="0">
        <f>IF($I200="","",IF(OR($I200=1,$I200=5,$I200=9),IF($K200="","Long fast month","Long fast month (LEAP)"),""))</f>
        <v/>
      </c>
      <c r="K200" s="0">
        <f>IFERROR(IF(INDEX(lookup!$G:$G,MATCH($C200,lookup!$D:$D,0))="LEAP","LEAP MONTH - counts as month "&amp;$I200&amp;", flagged for review",""),"")</f>
        <v/>
      </c>
    </row>
    <row r="201">
      <c r="A201" s="12">
        <f>A200+1</f>
        <v/>
      </c>
      <c r="B201" s="0">
        <f>TEXT(A201,"ddd")</f>
        <v/>
      </c>
      <c r="C201" s="0">
        <f>IFERROR(INDEX(lunar_ref!$B:$B,MATCH($A201,lunar_ref!$A:$A,0)),"")</f>
        <v/>
      </c>
      <c r="D201" s="0">
        <f>IFERROR(INDEX(lunar_ref!$C:$C,MATCH($A201,lunar_ref!$A:$A,0)),"")</f>
        <v/>
      </c>
      <c r="E201" s="0">
        <f>_xlfn.XLOOKUP($D201,lookup!$A:$A,lookup!$B:$B)</f>
        <v/>
      </c>
      <c r="F201" s="0">
        <f>IF($E201=1,"New",IF($E201=15,"Full",""))</f>
        <v/>
      </c>
      <c r="H201" s="0">
        <f>IF($E201="","",IF(OR($E201=8,$E201=14,$E201=15,$E201=23,$E202=1,$E203=1),"Fast day",""))</f>
        <v/>
      </c>
      <c r="I201" s="0">
        <f>IFERROR(INDEX(lookup!$E:$E,MATCH($C201,lookup!$D:$D,0)),"")</f>
        <v/>
      </c>
      <c r="J201" s="0">
        <f>IF($I201="","",IF(OR($I201=1,$I201=5,$I201=9),IF($K201="","Long fast month","Long fast month (LEAP)"),""))</f>
        <v/>
      </c>
      <c r="K201" s="0">
        <f>IFERROR(IF(INDEX(lookup!$G:$G,MATCH($C201,lookup!$D:$D,0))="LEAP","LEAP MONTH - counts as month "&amp;$I201&amp;", flagged for review",""),"")</f>
        <v/>
      </c>
    </row>
    <row r="202">
      <c r="A202" s="12">
        <f>A201+1</f>
        <v/>
      </c>
      <c r="B202" s="0">
        <f>TEXT(A202,"ddd")</f>
        <v/>
      </c>
      <c r="C202" s="0">
        <f>IFERROR(INDEX(lunar_ref!$B:$B,MATCH($A202,lunar_ref!$A:$A,0)),"")</f>
        <v/>
      </c>
      <c r="D202" s="0">
        <f>IFERROR(INDEX(lunar_ref!$C:$C,MATCH($A202,lunar_ref!$A:$A,0)),"")</f>
        <v/>
      </c>
      <c r="E202" s="0">
        <f>_xlfn.XLOOKUP($D202,lookup!$A:$A,lookup!$B:$B)</f>
        <v/>
      </c>
      <c r="F202" s="0">
        <f>IF($E202=1,"New",IF($E202=15,"Full",""))</f>
        <v/>
      </c>
      <c r="H202" s="0">
        <f>IF($E202="","",IF(OR($E202=8,$E202=14,$E202=15,$E202=23,$E203=1,$E204=1),"Fast day",""))</f>
        <v/>
      </c>
      <c r="I202" s="0">
        <f>IFERROR(INDEX(lookup!$E:$E,MATCH($C202,lookup!$D:$D,0)),"")</f>
        <v/>
      </c>
      <c r="J202" s="0">
        <f>IF($I202="","",IF(OR($I202=1,$I202=5,$I202=9),IF($K202="","Long fast month","Long fast month (LEAP)"),""))</f>
        <v/>
      </c>
      <c r="K202" s="0">
        <f>IFERROR(IF(INDEX(lookup!$G:$G,MATCH($C202,lookup!$D:$D,0))="LEAP","LEAP MONTH - counts as month "&amp;$I202&amp;", flagged for review",""),"")</f>
        <v/>
      </c>
    </row>
    <row r="203">
      <c r="A203" s="12">
        <f>A202+1</f>
        <v/>
      </c>
      <c r="B203" s="0">
        <f>TEXT(A203,"ddd")</f>
        <v/>
      </c>
      <c r="C203" s="0">
        <f>IFERROR(INDEX(lunar_ref!$B:$B,MATCH($A203,lunar_ref!$A:$A,0)),"")</f>
        <v/>
      </c>
      <c r="D203" s="0">
        <f>IFERROR(INDEX(lunar_ref!$C:$C,MATCH($A203,lunar_ref!$A:$A,0)),"")</f>
        <v/>
      </c>
      <c r="E203" s="0">
        <f>_xlfn.XLOOKUP($D203,lookup!$A:$A,lookup!$B:$B)</f>
        <v/>
      </c>
      <c r="F203" s="0">
        <f>IF($E203=1,"New",IF($E203=15,"Full",""))</f>
        <v/>
      </c>
      <c r="H203" s="0">
        <f>IF($E203="","",IF(OR($E203=8,$E203=14,$E203=15,$E203=23,$E204=1,$E205=1),"Fast day",""))</f>
        <v/>
      </c>
      <c r="I203" s="0">
        <f>IFERROR(INDEX(lookup!$E:$E,MATCH($C203,lookup!$D:$D,0)),"")</f>
        <v/>
      </c>
      <c r="J203" s="0">
        <f>IF($I203="","",IF(OR($I203=1,$I203=5,$I203=9),IF($K203="","Long fast month","Long fast month (LEAP)"),""))</f>
        <v/>
      </c>
      <c r="K203" s="0">
        <f>IFERROR(IF(INDEX(lookup!$G:$G,MATCH($C203,lookup!$D:$D,0))="LEAP","LEAP MONTH - counts as month "&amp;$I203&amp;", flagged for review",""),"")</f>
        <v/>
      </c>
    </row>
    <row r="204">
      <c r="A204" s="12">
        <f>A203+1</f>
        <v/>
      </c>
      <c r="B204" s="0">
        <f>TEXT(A204,"ddd")</f>
        <v/>
      </c>
      <c r="C204" s="0">
        <f>IFERROR(INDEX(lunar_ref!$B:$B,MATCH($A204,lunar_ref!$A:$A,0)),"")</f>
        <v/>
      </c>
      <c r="D204" s="0">
        <f>IFERROR(INDEX(lunar_ref!$C:$C,MATCH($A204,lunar_ref!$A:$A,0)),"")</f>
        <v/>
      </c>
      <c r="E204" s="0">
        <f>_xlfn.XLOOKUP($D204,lookup!$A:$A,lookup!$B:$B)</f>
        <v/>
      </c>
      <c r="F204" s="0">
        <f>IF($E204=1,"New",IF($E204=15,"Full",""))</f>
        <v/>
      </c>
      <c r="H204" s="0">
        <f>IF($E204="","",IF(OR($E204=8,$E204=14,$E204=15,$E204=23,$E205=1,$E206=1),"Fast day",""))</f>
        <v/>
      </c>
      <c r="I204" s="0">
        <f>IFERROR(INDEX(lookup!$E:$E,MATCH($C204,lookup!$D:$D,0)),"")</f>
        <v/>
      </c>
      <c r="J204" s="0">
        <f>IF($I204="","",IF(OR($I204=1,$I204=5,$I204=9),IF($K204="","Long fast month","Long fast month (LEAP)"),""))</f>
        <v/>
      </c>
      <c r="K204" s="0">
        <f>IFERROR(IF(INDEX(lookup!$G:$G,MATCH($C204,lookup!$D:$D,0))="LEAP","LEAP MONTH - counts as month "&amp;$I204&amp;", flagged for review",""),"")</f>
        <v/>
      </c>
    </row>
    <row r="205">
      <c r="A205" s="12">
        <f>A204+1</f>
        <v/>
      </c>
      <c r="B205" s="0">
        <f>TEXT(A205,"ddd")</f>
        <v/>
      </c>
      <c r="C205" s="0">
        <f>IFERROR(INDEX(lunar_ref!$B:$B,MATCH($A205,lunar_ref!$A:$A,0)),"")</f>
        <v/>
      </c>
      <c r="D205" s="0">
        <f>IFERROR(INDEX(lunar_ref!$C:$C,MATCH($A205,lunar_ref!$A:$A,0)),"")</f>
        <v/>
      </c>
      <c r="E205" s="0">
        <f>_xlfn.XLOOKUP($D205,lookup!$A:$A,lookup!$B:$B)</f>
        <v/>
      </c>
      <c r="F205" s="0">
        <f>IF($E205=1,"New",IF($E205=15,"Full",""))</f>
        <v/>
      </c>
      <c r="H205" s="0">
        <f>IF($E205="","",IF(OR($E205=8,$E205=14,$E205=15,$E205=23,$E206=1,$E207=1),"Fast day",""))</f>
        <v/>
      </c>
      <c r="I205" s="0">
        <f>IFERROR(INDEX(lookup!$E:$E,MATCH($C205,lookup!$D:$D,0)),"")</f>
        <v/>
      </c>
      <c r="J205" s="0">
        <f>IF($I205="","",IF(OR($I205=1,$I205=5,$I205=9),IF($K205="","Long fast month","Long fast month (LEAP)"),""))</f>
        <v/>
      </c>
      <c r="K205" s="0">
        <f>IFERROR(IF(INDEX(lookup!$G:$G,MATCH($C205,lookup!$D:$D,0))="LEAP","LEAP MONTH - counts as month "&amp;$I205&amp;", flagged for review",""),"")</f>
        <v/>
      </c>
    </row>
    <row r="206">
      <c r="A206" s="12">
        <f>A205+1</f>
        <v/>
      </c>
      <c r="B206" s="0">
        <f>TEXT(A206,"ddd")</f>
        <v/>
      </c>
      <c r="C206" s="0">
        <f>IFERROR(INDEX(lunar_ref!$B:$B,MATCH($A206,lunar_ref!$A:$A,0)),"")</f>
        <v/>
      </c>
      <c r="D206" s="0">
        <f>IFERROR(INDEX(lunar_ref!$C:$C,MATCH($A206,lunar_ref!$A:$A,0)),"")</f>
        <v/>
      </c>
      <c r="E206" s="0">
        <f>_xlfn.XLOOKUP($D206,lookup!$A:$A,lookup!$B:$B)</f>
        <v/>
      </c>
      <c r="F206" s="0">
        <f>IF($E206=1,"New",IF($E206=15,"Full",""))</f>
        <v/>
      </c>
      <c r="H206" s="0">
        <f>IF($E206="","",IF(OR($E206=8,$E206=14,$E206=15,$E206=23,$E207=1,$E208=1),"Fast day",""))</f>
        <v/>
      </c>
      <c r="I206" s="0">
        <f>IFERROR(INDEX(lookup!$E:$E,MATCH($C206,lookup!$D:$D,0)),"")</f>
        <v/>
      </c>
      <c r="J206" s="0">
        <f>IF($I206="","",IF(OR($I206=1,$I206=5,$I206=9),IF($K206="","Long fast month","Long fast month (LEAP)"),""))</f>
        <v/>
      </c>
      <c r="K206" s="0">
        <f>IFERROR(IF(INDEX(lookup!$G:$G,MATCH($C206,lookup!$D:$D,0))="LEAP","LEAP MONTH - counts as month "&amp;$I206&amp;", flagged for review",""),"")</f>
        <v/>
      </c>
    </row>
    <row r="207">
      <c r="A207" s="12">
        <f>A206+1</f>
        <v/>
      </c>
      <c r="B207" s="0">
        <f>TEXT(A207,"ddd")</f>
        <v/>
      </c>
      <c r="C207" s="0">
        <f>IFERROR(INDEX(lunar_ref!$B:$B,MATCH($A207,lunar_ref!$A:$A,0)),"")</f>
        <v/>
      </c>
      <c r="D207" s="0">
        <f>IFERROR(INDEX(lunar_ref!$C:$C,MATCH($A207,lunar_ref!$A:$A,0)),"")</f>
        <v/>
      </c>
      <c r="E207" s="0">
        <f>_xlfn.XLOOKUP($D207,lookup!$A:$A,lookup!$B:$B)</f>
        <v/>
      </c>
      <c r="F207" s="0">
        <f>IF($E207=1,"New",IF($E207=15,"Full",""))</f>
        <v/>
      </c>
      <c r="H207" s="0">
        <f>IF($E207="","",IF(OR($E207=8,$E207=14,$E207=15,$E207=23,$E208=1,$E209=1),"Fast day",""))</f>
        <v/>
      </c>
      <c r="I207" s="0">
        <f>IFERROR(INDEX(lookup!$E:$E,MATCH($C207,lookup!$D:$D,0)),"")</f>
        <v/>
      </c>
      <c r="J207" s="0">
        <f>IF($I207="","",IF(OR($I207=1,$I207=5,$I207=9),IF($K207="","Long fast month","Long fast month (LEAP)"),""))</f>
        <v/>
      </c>
      <c r="K207" s="0">
        <f>IFERROR(IF(INDEX(lookup!$G:$G,MATCH($C207,lookup!$D:$D,0))="LEAP","LEAP MONTH - counts as month "&amp;$I207&amp;", flagged for review",""),"")</f>
        <v/>
      </c>
    </row>
    <row r="208">
      <c r="A208" s="12">
        <f>A207+1</f>
        <v/>
      </c>
      <c r="B208" s="0">
        <f>TEXT(A208,"ddd")</f>
        <v/>
      </c>
      <c r="C208" s="0">
        <f>IFERROR(INDEX(lunar_ref!$B:$B,MATCH($A208,lunar_ref!$A:$A,0)),"")</f>
        <v/>
      </c>
      <c r="D208" s="0">
        <f>IFERROR(INDEX(lunar_ref!$C:$C,MATCH($A208,lunar_ref!$A:$A,0)),"")</f>
        <v/>
      </c>
      <c r="E208" s="0">
        <f>_xlfn.XLOOKUP($D208,lookup!$A:$A,lookup!$B:$B)</f>
        <v/>
      </c>
      <c r="F208" s="0">
        <f>IF($E208=1,"New",IF($E208=15,"Full",""))</f>
        <v/>
      </c>
      <c r="H208" s="0">
        <f>IF($E208="","",IF(OR($E208=8,$E208=14,$E208=15,$E208=23,$E209=1,$E210=1),"Fast day",""))</f>
        <v/>
      </c>
      <c r="I208" s="0">
        <f>IFERROR(INDEX(lookup!$E:$E,MATCH($C208,lookup!$D:$D,0)),"")</f>
        <v/>
      </c>
      <c r="J208" s="0">
        <f>IF($I208="","",IF(OR($I208=1,$I208=5,$I208=9),IF($K208="","Long fast month","Long fast month (LEAP)"),""))</f>
        <v/>
      </c>
      <c r="K208" s="0">
        <f>IFERROR(IF(INDEX(lookup!$G:$G,MATCH($C208,lookup!$D:$D,0))="LEAP","LEAP MONTH - counts as month "&amp;$I208&amp;", flagged for review",""),"")</f>
        <v/>
      </c>
    </row>
    <row r="209">
      <c r="A209" s="12">
        <f>A208+1</f>
        <v/>
      </c>
      <c r="B209" s="0">
        <f>TEXT(A209,"ddd")</f>
        <v/>
      </c>
      <c r="C209" s="0">
        <f>IFERROR(INDEX(lunar_ref!$B:$B,MATCH($A209,lunar_ref!$A:$A,0)),"")</f>
        <v/>
      </c>
      <c r="D209" s="0">
        <f>IFERROR(INDEX(lunar_ref!$C:$C,MATCH($A209,lunar_ref!$A:$A,0)),"")</f>
        <v/>
      </c>
      <c r="E209" s="0">
        <f>_xlfn.XLOOKUP($D209,lookup!$A:$A,lookup!$B:$B)</f>
        <v/>
      </c>
      <c r="F209" s="0">
        <f>IF($E209=1,"New",IF($E209=15,"Full",""))</f>
        <v/>
      </c>
      <c r="H209" s="0">
        <f>IF($E209="","",IF(OR($E209=8,$E209=14,$E209=15,$E209=23,$E210=1,$E211=1),"Fast day",""))</f>
        <v/>
      </c>
      <c r="I209" s="0">
        <f>IFERROR(INDEX(lookup!$E:$E,MATCH($C209,lookup!$D:$D,0)),"")</f>
        <v/>
      </c>
      <c r="J209" s="0">
        <f>IF($I209="","",IF(OR($I209=1,$I209=5,$I209=9),IF($K209="","Long fast month","Long fast month (LEAP)"),""))</f>
        <v/>
      </c>
      <c r="K209" s="0">
        <f>IFERROR(IF(INDEX(lookup!$G:$G,MATCH($C209,lookup!$D:$D,0))="LEAP","LEAP MONTH - counts as month "&amp;$I209&amp;", flagged for review",""),"")</f>
        <v/>
      </c>
    </row>
    <row r="210">
      <c r="A210" s="12">
        <f>A209+1</f>
        <v/>
      </c>
      <c r="B210" s="0">
        <f>TEXT(A210,"ddd")</f>
        <v/>
      </c>
      <c r="C210" s="0">
        <f>IFERROR(INDEX(lunar_ref!$B:$B,MATCH($A210,lunar_ref!$A:$A,0)),"")</f>
        <v/>
      </c>
      <c r="D210" s="0">
        <f>IFERROR(INDEX(lunar_ref!$C:$C,MATCH($A210,lunar_ref!$A:$A,0)),"")</f>
        <v/>
      </c>
      <c r="E210" s="0">
        <f>_xlfn.XLOOKUP($D210,lookup!$A:$A,lookup!$B:$B)</f>
        <v/>
      </c>
      <c r="F210" s="0">
        <f>IF($E210=1,"New",IF($E210=15,"Full",""))</f>
        <v/>
      </c>
      <c r="H210" s="0">
        <f>IF($E210="","",IF(OR($E210=8,$E210=14,$E210=15,$E210=23,$E211=1,$E212=1),"Fast day",""))</f>
        <v/>
      </c>
      <c r="I210" s="0">
        <f>IFERROR(INDEX(lookup!$E:$E,MATCH($C210,lookup!$D:$D,0)),"")</f>
        <v/>
      </c>
      <c r="J210" s="0">
        <f>IF($I210="","",IF(OR($I210=1,$I210=5,$I210=9),IF($K210="","Long fast month","Long fast month (LEAP)"),""))</f>
        <v/>
      </c>
      <c r="K210" s="0">
        <f>IFERROR(IF(INDEX(lookup!$G:$G,MATCH($C210,lookup!$D:$D,0))="LEAP","LEAP MONTH - counts as month "&amp;$I210&amp;", flagged for review",""),"")</f>
        <v/>
      </c>
    </row>
    <row r="211">
      <c r="A211" s="12">
        <f>A210+1</f>
        <v/>
      </c>
      <c r="B211" s="0">
        <f>TEXT(A211,"ddd")</f>
        <v/>
      </c>
      <c r="C211" s="0">
        <f>IFERROR(INDEX(lunar_ref!$B:$B,MATCH($A211,lunar_ref!$A:$A,0)),"")</f>
        <v/>
      </c>
      <c r="D211" s="0">
        <f>IFERROR(INDEX(lunar_ref!$C:$C,MATCH($A211,lunar_ref!$A:$A,0)),"")</f>
        <v/>
      </c>
      <c r="E211" s="0">
        <f>_xlfn.XLOOKUP($D211,lookup!$A:$A,lookup!$B:$B)</f>
        <v/>
      </c>
      <c r="F211" s="0">
        <f>IF($E211=1,"New",IF($E211=15,"Full",""))</f>
        <v/>
      </c>
      <c r="H211" s="0">
        <f>IF($E211="","",IF(OR($E211=8,$E211=14,$E211=15,$E211=23,$E212=1,$E213=1),"Fast day",""))</f>
        <v/>
      </c>
      <c r="I211" s="0">
        <f>IFERROR(INDEX(lookup!$E:$E,MATCH($C211,lookup!$D:$D,0)),"")</f>
        <v/>
      </c>
      <c r="J211" s="0">
        <f>IF($I211="","",IF(OR($I211=1,$I211=5,$I211=9),IF($K211="","Long fast month","Long fast month (LEAP)"),""))</f>
        <v/>
      </c>
      <c r="K211" s="0">
        <f>IFERROR(IF(INDEX(lookup!$G:$G,MATCH($C211,lookup!$D:$D,0))="LEAP","LEAP MONTH - counts as month "&amp;$I211&amp;", flagged for review",""),"")</f>
        <v/>
      </c>
    </row>
    <row r="212">
      <c r="A212" s="12">
        <f>A211+1</f>
        <v/>
      </c>
      <c r="B212" s="0">
        <f>TEXT(A212,"ddd")</f>
        <v/>
      </c>
      <c r="C212" s="0">
        <f>IFERROR(INDEX(lunar_ref!$B:$B,MATCH($A212,lunar_ref!$A:$A,0)),"")</f>
        <v/>
      </c>
      <c r="D212" s="0">
        <f>IFERROR(INDEX(lunar_ref!$C:$C,MATCH($A212,lunar_ref!$A:$A,0)),"")</f>
        <v/>
      </c>
      <c r="E212" s="0">
        <f>_xlfn.XLOOKUP($D212,lookup!$A:$A,lookup!$B:$B)</f>
        <v/>
      </c>
      <c r="F212" s="0">
        <f>IF($E212=1,"New",IF($E212=15,"Full",""))</f>
        <v/>
      </c>
      <c r="H212" s="0">
        <f>IF($E212="","",IF(OR($E212=8,$E212=14,$E212=15,$E212=23,$E213=1,$E214=1),"Fast day",""))</f>
        <v/>
      </c>
      <c r="I212" s="0">
        <f>IFERROR(INDEX(lookup!$E:$E,MATCH($C212,lookup!$D:$D,0)),"")</f>
        <v/>
      </c>
      <c r="J212" s="0">
        <f>IF($I212="","",IF(OR($I212=1,$I212=5,$I212=9),IF($K212="","Long fast month","Long fast month (LEAP)"),""))</f>
        <v/>
      </c>
      <c r="K212" s="0">
        <f>IFERROR(IF(INDEX(lookup!$G:$G,MATCH($C212,lookup!$D:$D,0))="LEAP","LEAP MONTH - counts as month "&amp;$I212&amp;", flagged for review",""),"")</f>
        <v/>
      </c>
    </row>
    <row r="213">
      <c r="A213" s="12">
        <f>A212+1</f>
        <v/>
      </c>
      <c r="B213" s="0">
        <f>TEXT(A213,"ddd")</f>
        <v/>
      </c>
      <c r="C213" s="0">
        <f>IFERROR(INDEX(lunar_ref!$B:$B,MATCH($A213,lunar_ref!$A:$A,0)),"")</f>
        <v/>
      </c>
      <c r="D213" s="0">
        <f>IFERROR(INDEX(lunar_ref!$C:$C,MATCH($A213,lunar_ref!$A:$A,0)),"")</f>
        <v/>
      </c>
      <c r="E213" s="0">
        <f>_xlfn.XLOOKUP($D213,lookup!$A:$A,lookup!$B:$B)</f>
        <v/>
      </c>
      <c r="F213" s="0">
        <f>IF($E213=1,"New",IF($E213=15,"Full",""))</f>
        <v/>
      </c>
      <c r="H213" s="0">
        <f>IF($E213="","",IF(OR($E213=8,$E213=14,$E213=15,$E213=23,$E214=1,$E215=1),"Fast day",""))</f>
        <v/>
      </c>
      <c r="I213" s="0">
        <f>IFERROR(INDEX(lookup!$E:$E,MATCH($C213,lookup!$D:$D,0)),"")</f>
        <v/>
      </c>
      <c r="J213" s="0">
        <f>IF($I213="","",IF(OR($I213=1,$I213=5,$I213=9),IF($K213="","Long fast month","Long fast month (LEAP)"),""))</f>
        <v/>
      </c>
      <c r="K213" s="0">
        <f>IFERROR(IF(INDEX(lookup!$G:$G,MATCH($C213,lookup!$D:$D,0))="LEAP","LEAP MONTH - counts as month "&amp;$I213&amp;", flagged for review",""),"")</f>
        <v/>
      </c>
    </row>
    <row r="214">
      <c r="A214" s="12">
        <f>A213+1</f>
        <v/>
      </c>
      <c r="B214" s="0">
        <f>TEXT(A214,"ddd")</f>
        <v/>
      </c>
      <c r="C214" s="0">
        <f>IFERROR(INDEX(lunar_ref!$B:$B,MATCH($A214,lunar_ref!$A:$A,0)),"")</f>
        <v/>
      </c>
      <c r="D214" s="0">
        <f>IFERROR(INDEX(lunar_ref!$C:$C,MATCH($A214,lunar_ref!$A:$A,0)),"")</f>
        <v/>
      </c>
      <c r="E214" s="0">
        <f>_xlfn.XLOOKUP($D214,lookup!$A:$A,lookup!$B:$B)</f>
        <v/>
      </c>
      <c r="F214" s="0">
        <f>IF($E214=1,"New",IF($E214=15,"Full",""))</f>
        <v/>
      </c>
      <c r="H214" s="0">
        <f>IF($E214="","",IF(OR($E214=8,$E214=14,$E214=15,$E214=23,$E215=1,$E216=1),"Fast day",""))</f>
        <v/>
      </c>
      <c r="I214" s="0">
        <f>IFERROR(INDEX(lookup!$E:$E,MATCH($C214,lookup!$D:$D,0)),"")</f>
        <v/>
      </c>
      <c r="J214" s="0">
        <f>IF($I214="","",IF(OR($I214=1,$I214=5,$I214=9),IF($K214="","Long fast month","Long fast month (LEAP)"),""))</f>
        <v/>
      </c>
      <c r="K214" s="0">
        <f>IFERROR(IF(INDEX(lookup!$G:$G,MATCH($C214,lookup!$D:$D,0))="LEAP","LEAP MONTH - counts as month "&amp;$I214&amp;", flagged for review",""),"")</f>
        <v/>
      </c>
    </row>
    <row r="215">
      <c r="A215" s="12">
        <f>A214+1</f>
        <v/>
      </c>
      <c r="B215" s="0">
        <f>TEXT(A215,"ddd")</f>
        <v/>
      </c>
      <c r="C215" s="0">
        <f>IFERROR(INDEX(lunar_ref!$B:$B,MATCH($A215,lunar_ref!$A:$A,0)),"")</f>
        <v/>
      </c>
      <c r="D215" s="0">
        <f>IFERROR(INDEX(lunar_ref!$C:$C,MATCH($A215,lunar_ref!$A:$A,0)),"")</f>
        <v/>
      </c>
      <c r="E215" s="0">
        <f>_xlfn.XLOOKUP($D215,lookup!$A:$A,lookup!$B:$B)</f>
        <v/>
      </c>
      <c r="F215" s="0">
        <f>IF($E215=1,"New",IF($E215=15,"Full",""))</f>
        <v/>
      </c>
      <c r="H215" s="0">
        <f>IF($E215="","",IF(OR($E215=8,$E215=14,$E215=15,$E215=23,$E216=1,$E217=1),"Fast day",""))</f>
        <v/>
      </c>
      <c r="I215" s="0">
        <f>IFERROR(INDEX(lookup!$E:$E,MATCH($C215,lookup!$D:$D,0)),"")</f>
        <v/>
      </c>
      <c r="J215" s="0">
        <f>IF($I215="","",IF(OR($I215=1,$I215=5,$I215=9),IF($K215="","Long fast month","Long fast month (LEAP)"),""))</f>
        <v/>
      </c>
      <c r="K215" s="0">
        <f>IFERROR(IF(INDEX(lookup!$G:$G,MATCH($C215,lookup!$D:$D,0))="LEAP","LEAP MONTH - counts as month "&amp;$I215&amp;", flagged for review",""),"")</f>
        <v/>
      </c>
    </row>
    <row r="216">
      <c r="A216" s="12">
        <f>A215+1</f>
        <v/>
      </c>
      <c r="B216" s="0">
        <f>TEXT(A216,"ddd")</f>
        <v/>
      </c>
      <c r="C216" s="0">
        <f>IFERROR(INDEX(lunar_ref!$B:$B,MATCH($A216,lunar_ref!$A:$A,0)),"")</f>
        <v/>
      </c>
      <c r="D216" s="0">
        <f>IFERROR(INDEX(lunar_ref!$C:$C,MATCH($A216,lunar_ref!$A:$A,0)),"")</f>
        <v/>
      </c>
      <c r="E216" s="0">
        <f>_xlfn.XLOOKUP($D216,lookup!$A:$A,lookup!$B:$B)</f>
        <v/>
      </c>
      <c r="F216" s="0">
        <f>IF($E216=1,"New",IF($E216=15,"Full",""))</f>
        <v/>
      </c>
      <c r="H216" s="0">
        <f>IF($E216="","",IF(OR($E216=8,$E216=14,$E216=15,$E216=23,$E217=1,$E218=1),"Fast day",""))</f>
        <v/>
      </c>
      <c r="I216" s="0">
        <f>IFERROR(INDEX(lookup!$E:$E,MATCH($C216,lookup!$D:$D,0)),"")</f>
        <v/>
      </c>
      <c r="J216" s="0">
        <f>IF($I216="","",IF(OR($I216=1,$I216=5,$I216=9),IF($K216="","Long fast month","Long fast month (LEAP)"),""))</f>
        <v/>
      </c>
      <c r="K216" s="0">
        <f>IFERROR(IF(INDEX(lookup!$G:$G,MATCH($C216,lookup!$D:$D,0))="LEAP","LEAP MONTH - counts as month "&amp;$I216&amp;", flagged for review",""),"")</f>
        <v/>
      </c>
    </row>
    <row r="217">
      <c r="A217" s="12">
        <f>A216+1</f>
        <v/>
      </c>
      <c r="B217" s="0">
        <f>TEXT(A217,"ddd")</f>
        <v/>
      </c>
      <c r="C217" s="0">
        <f>IFERROR(INDEX(lunar_ref!$B:$B,MATCH($A217,lunar_ref!$A:$A,0)),"")</f>
        <v/>
      </c>
      <c r="D217" s="0">
        <f>IFERROR(INDEX(lunar_ref!$C:$C,MATCH($A217,lunar_ref!$A:$A,0)),"")</f>
        <v/>
      </c>
      <c r="E217" s="0">
        <f>_xlfn.XLOOKUP($D217,lookup!$A:$A,lookup!$B:$B)</f>
        <v/>
      </c>
      <c r="F217" s="0">
        <f>IF($E217=1,"New",IF($E217=15,"Full",""))</f>
        <v/>
      </c>
      <c r="H217" s="0">
        <f>IF($E217="","",IF(OR($E217=8,$E217=14,$E217=15,$E217=23,$E218=1,$E219=1),"Fast day",""))</f>
        <v/>
      </c>
      <c r="I217" s="0">
        <f>IFERROR(INDEX(lookup!$E:$E,MATCH($C217,lookup!$D:$D,0)),"")</f>
        <v/>
      </c>
      <c r="J217" s="0">
        <f>IF($I217="","",IF(OR($I217=1,$I217=5,$I217=9),IF($K217="","Long fast month","Long fast month (LEAP)"),""))</f>
        <v/>
      </c>
      <c r="K217" s="0">
        <f>IFERROR(IF(INDEX(lookup!$G:$G,MATCH($C217,lookup!$D:$D,0))="LEAP","LEAP MONTH - counts as month "&amp;$I217&amp;", flagged for review",""),"")</f>
        <v/>
      </c>
    </row>
    <row r="218">
      <c r="A218" s="12">
        <f>A217+1</f>
        <v/>
      </c>
      <c r="B218" s="0">
        <f>TEXT(A218,"ddd")</f>
        <v/>
      </c>
      <c r="C218" s="0">
        <f>IFERROR(INDEX(lunar_ref!$B:$B,MATCH($A218,lunar_ref!$A:$A,0)),"")</f>
        <v/>
      </c>
      <c r="D218" s="0">
        <f>IFERROR(INDEX(lunar_ref!$C:$C,MATCH($A218,lunar_ref!$A:$A,0)),"")</f>
        <v/>
      </c>
      <c r="E218" s="0">
        <f>_xlfn.XLOOKUP($D218,lookup!$A:$A,lookup!$B:$B)</f>
        <v/>
      </c>
      <c r="F218" s="0">
        <f>IF($E218=1,"New",IF($E218=15,"Full",""))</f>
        <v/>
      </c>
      <c r="H218" s="0">
        <f>IF($E218="","",IF(OR($E218=8,$E218=14,$E218=15,$E218=23,$E219=1,$E220=1),"Fast day",""))</f>
        <v/>
      </c>
      <c r="I218" s="0">
        <f>IFERROR(INDEX(lookup!$E:$E,MATCH($C218,lookup!$D:$D,0)),"")</f>
        <v/>
      </c>
      <c r="J218" s="0">
        <f>IF($I218="","",IF(OR($I218=1,$I218=5,$I218=9),IF($K218="","Long fast month","Long fast month (LEAP)"),""))</f>
        <v/>
      </c>
      <c r="K218" s="0">
        <f>IFERROR(IF(INDEX(lookup!$G:$G,MATCH($C218,lookup!$D:$D,0))="LEAP","LEAP MONTH - counts as month "&amp;$I218&amp;", flagged for review",""),"")</f>
        <v/>
      </c>
    </row>
    <row r="219">
      <c r="A219" s="12">
        <f>A218+1</f>
        <v/>
      </c>
      <c r="B219" s="0">
        <f>TEXT(A219,"ddd")</f>
        <v/>
      </c>
      <c r="C219" s="0">
        <f>IFERROR(INDEX(lunar_ref!$B:$B,MATCH($A219,lunar_ref!$A:$A,0)),"")</f>
        <v/>
      </c>
      <c r="D219" s="0">
        <f>IFERROR(INDEX(lunar_ref!$C:$C,MATCH($A219,lunar_ref!$A:$A,0)),"")</f>
        <v/>
      </c>
      <c r="E219" s="0">
        <f>_xlfn.XLOOKUP($D219,lookup!$A:$A,lookup!$B:$B)</f>
        <v/>
      </c>
      <c r="F219" s="0">
        <f>IF($E219=1,"New",IF($E219=15,"Full",""))</f>
        <v/>
      </c>
      <c r="H219" s="0">
        <f>IF($E219="","",IF(OR($E219=8,$E219=14,$E219=15,$E219=23,$E220=1,$E221=1),"Fast day",""))</f>
        <v/>
      </c>
      <c r="I219" s="0">
        <f>IFERROR(INDEX(lookup!$E:$E,MATCH($C219,lookup!$D:$D,0)),"")</f>
        <v/>
      </c>
      <c r="J219" s="0">
        <f>IF($I219="","",IF(OR($I219=1,$I219=5,$I219=9),IF($K219="","Long fast month","Long fast month (LEAP)"),""))</f>
        <v/>
      </c>
      <c r="K219" s="0">
        <f>IFERROR(IF(INDEX(lookup!$G:$G,MATCH($C219,lookup!$D:$D,0))="LEAP","LEAP MONTH - counts as month "&amp;$I219&amp;", flagged for review",""),"")</f>
        <v/>
      </c>
    </row>
    <row r="220">
      <c r="A220" s="12">
        <f>A219+1</f>
        <v/>
      </c>
      <c r="B220" s="0">
        <f>TEXT(A220,"ddd")</f>
        <v/>
      </c>
      <c r="C220" s="0">
        <f>IFERROR(INDEX(lunar_ref!$B:$B,MATCH($A220,lunar_ref!$A:$A,0)),"")</f>
        <v/>
      </c>
      <c r="D220" s="0">
        <f>IFERROR(INDEX(lunar_ref!$C:$C,MATCH($A220,lunar_ref!$A:$A,0)),"")</f>
        <v/>
      </c>
      <c r="E220" s="0">
        <f>_xlfn.XLOOKUP($D220,lookup!$A:$A,lookup!$B:$B)</f>
        <v/>
      </c>
      <c r="F220" s="0">
        <f>IF($E220=1,"New",IF($E220=15,"Full",""))</f>
        <v/>
      </c>
      <c r="H220" s="0">
        <f>IF($E220="","",IF(OR($E220=8,$E220=14,$E220=15,$E220=23,$E221=1,$E222=1),"Fast day",""))</f>
        <v/>
      </c>
      <c r="I220" s="0">
        <f>IFERROR(INDEX(lookup!$E:$E,MATCH($C220,lookup!$D:$D,0)),"")</f>
        <v/>
      </c>
      <c r="J220" s="0">
        <f>IF($I220="","",IF(OR($I220=1,$I220=5,$I220=9),IF($K220="","Long fast month","Long fast month (LEAP)"),""))</f>
        <v/>
      </c>
      <c r="K220" s="0">
        <f>IFERROR(IF(INDEX(lookup!$G:$G,MATCH($C220,lookup!$D:$D,0))="LEAP","LEAP MONTH - counts as month "&amp;$I220&amp;", flagged for review",""),"")</f>
        <v/>
      </c>
    </row>
    <row r="221">
      <c r="A221" s="12">
        <f>A220+1</f>
        <v/>
      </c>
      <c r="B221" s="0">
        <f>TEXT(A221,"ddd")</f>
        <v/>
      </c>
      <c r="C221" s="0">
        <f>IFERROR(INDEX(lunar_ref!$B:$B,MATCH($A221,lunar_ref!$A:$A,0)),"")</f>
        <v/>
      </c>
      <c r="D221" s="0">
        <f>IFERROR(INDEX(lunar_ref!$C:$C,MATCH($A221,lunar_ref!$A:$A,0)),"")</f>
        <v/>
      </c>
      <c r="E221" s="0">
        <f>_xlfn.XLOOKUP($D221,lookup!$A:$A,lookup!$B:$B)</f>
        <v/>
      </c>
      <c r="F221" s="0">
        <f>IF($E221=1,"New",IF($E221=15,"Full",""))</f>
        <v/>
      </c>
      <c r="H221" s="0">
        <f>IF($E221="","",IF(OR($E221=8,$E221=14,$E221=15,$E221=23,$E222=1,$E223=1),"Fast day",""))</f>
        <v/>
      </c>
      <c r="I221" s="0">
        <f>IFERROR(INDEX(lookup!$E:$E,MATCH($C221,lookup!$D:$D,0)),"")</f>
        <v/>
      </c>
      <c r="J221" s="0">
        <f>IF($I221="","",IF(OR($I221=1,$I221=5,$I221=9),IF($K221="","Long fast month","Long fast month (LEAP)"),""))</f>
        <v/>
      </c>
      <c r="K221" s="0">
        <f>IFERROR(IF(INDEX(lookup!$G:$G,MATCH($C221,lookup!$D:$D,0))="LEAP","LEAP MONTH - counts as month "&amp;$I221&amp;", flagged for review",""),"")</f>
        <v/>
      </c>
    </row>
    <row r="222">
      <c r="A222" s="12">
        <f>A221+1</f>
        <v/>
      </c>
      <c r="B222" s="0">
        <f>TEXT(A222,"ddd")</f>
        <v/>
      </c>
      <c r="C222" s="0">
        <f>IFERROR(INDEX(lunar_ref!$B:$B,MATCH($A222,lunar_ref!$A:$A,0)),"")</f>
        <v/>
      </c>
      <c r="D222" s="0">
        <f>IFERROR(INDEX(lunar_ref!$C:$C,MATCH($A222,lunar_ref!$A:$A,0)),"")</f>
        <v/>
      </c>
      <c r="E222" s="0">
        <f>_xlfn.XLOOKUP($D222,lookup!$A:$A,lookup!$B:$B)</f>
        <v/>
      </c>
      <c r="F222" s="0">
        <f>IF($E222=1,"New",IF($E222=15,"Full",""))</f>
        <v/>
      </c>
      <c r="H222" s="0">
        <f>IF($E222="","",IF(OR($E222=8,$E222=14,$E222=15,$E222=23,$E223=1,$E224=1),"Fast day",""))</f>
        <v/>
      </c>
      <c r="I222" s="0">
        <f>IFERROR(INDEX(lookup!$E:$E,MATCH($C222,lookup!$D:$D,0)),"")</f>
        <v/>
      </c>
      <c r="J222" s="0">
        <f>IF($I222="","",IF(OR($I222=1,$I222=5,$I222=9),IF($K222="","Long fast month","Long fast month (LEAP)"),""))</f>
        <v/>
      </c>
      <c r="K222" s="0">
        <f>IFERROR(IF(INDEX(lookup!$G:$G,MATCH($C222,lookup!$D:$D,0))="LEAP","LEAP MONTH - counts as month "&amp;$I222&amp;", flagged for review",""),"")</f>
        <v/>
      </c>
    </row>
    <row r="223">
      <c r="A223" s="12">
        <f>A222+1</f>
        <v/>
      </c>
      <c r="B223" s="0">
        <f>TEXT(A223,"ddd")</f>
        <v/>
      </c>
      <c r="C223" s="0">
        <f>IFERROR(INDEX(lunar_ref!$B:$B,MATCH($A223,lunar_ref!$A:$A,0)),"")</f>
        <v/>
      </c>
      <c r="D223" s="0">
        <f>IFERROR(INDEX(lunar_ref!$C:$C,MATCH($A223,lunar_ref!$A:$A,0)),"")</f>
        <v/>
      </c>
      <c r="E223" s="0">
        <f>_xlfn.XLOOKUP($D223,lookup!$A:$A,lookup!$B:$B)</f>
        <v/>
      </c>
      <c r="F223" s="0">
        <f>IF($E223=1,"New",IF($E223=15,"Full",""))</f>
        <v/>
      </c>
      <c r="H223" s="0">
        <f>IF($E223="","",IF(OR($E223=8,$E223=14,$E223=15,$E223=23,$E224=1,$E225=1),"Fast day",""))</f>
        <v/>
      </c>
      <c r="I223" s="0">
        <f>IFERROR(INDEX(lookup!$E:$E,MATCH($C223,lookup!$D:$D,0)),"")</f>
        <v/>
      </c>
      <c r="J223" s="0">
        <f>IF($I223="","",IF(OR($I223=1,$I223=5,$I223=9),IF($K223="","Long fast month","Long fast month (LEAP)"),""))</f>
        <v/>
      </c>
      <c r="K223" s="0">
        <f>IFERROR(IF(INDEX(lookup!$G:$G,MATCH($C223,lookup!$D:$D,0))="LEAP","LEAP MONTH - counts as month "&amp;$I223&amp;", flagged for review",""),"")</f>
        <v/>
      </c>
    </row>
    <row r="224">
      <c r="A224" s="12">
        <f>A223+1</f>
        <v/>
      </c>
      <c r="B224" s="0">
        <f>TEXT(A224,"ddd")</f>
        <v/>
      </c>
      <c r="C224" s="0">
        <f>IFERROR(INDEX(lunar_ref!$B:$B,MATCH($A224,lunar_ref!$A:$A,0)),"")</f>
        <v/>
      </c>
      <c r="D224" s="0">
        <f>IFERROR(INDEX(lunar_ref!$C:$C,MATCH($A224,lunar_ref!$A:$A,0)),"")</f>
        <v/>
      </c>
      <c r="E224" s="0">
        <f>_xlfn.XLOOKUP($D224,lookup!$A:$A,lookup!$B:$B)</f>
        <v/>
      </c>
      <c r="F224" s="0">
        <f>IF($E224=1,"New",IF($E224=15,"Full",""))</f>
        <v/>
      </c>
      <c r="H224" s="0">
        <f>IF($E224="","",IF(OR($E224=8,$E224=14,$E224=15,$E224=23,$E225=1,$E226=1),"Fast day",""))</f>
        <v/>
      </c>
      <c r="I224" s="0">
        <f>IFERROR(INDEX(lookup!$E:$E,MATCH($C224,lookup!$D:$D,0)),"")</f>
        <v/>
      </c>
      <c r="J224" s="0">
        <f>IF($I224="","",IF(OR($I224=1,$I224=5,$I224=9),IF($K224="","Long fast month","Long fast month (LEAP)"),""))</f>
        <v/>
      </c>
      <c r="K224" s="0">
        <f>IFERROR(IF(INDEX(lookup!$G:$G,MATCH($C224,lookup!$D:$D,0))="LEAP","LEAP MONTH - counts as month "&amp;$I224&amp;", flagged for review",""),"")</f>
        <v/>
      </c>
    </row>
    <row r="225">
      <c r="A225" s="12">
        <f>A224+1</f>
        <v/>
      </c>
      <c r="B225" s="0">
        <f>TEXT(A225,"ddd")</f>
        <v/>
      </c>
      <c r="C225" s="0">
        <f>IFERROR(INDEX(lunar_ref!$B:$B,MATCH($A225,lunar_ref!$A:$A,0)),"")</f>
        <v/>
      </c>
      <c r="D225" s="0">
        <f>IFERROR(INDEX(lunar_ref!$C:$C,MATCH($A225,lunar_ref!$A:$A,0)),"")</f>
        <v/>
      </c>
      <c r="E225" s="0">
        <f>_xlfn.XLOOKUP($D225,lookup!$A:$A,lookup!$B:$B)</f>
        <v/>
      </c>
      <c r="F225" s="0">
        <f>IF($E225=1,"New",IF($E225=15,"Full",""))</f>
        <v/>
      </c>
      <c r="H225" s="0">
        <f>IF($E225="","",IF(OR($E225=8,$E225=14,$E225=15,$E225=23,$E226=1,$E227=1),"Fast day",""))</f>
        <v/>
      </c>
      <c r="I225" s="0">
        <f>IFERROR(INDEX(lookup!$E:$E,MATCH($C225,lookup!$D:$D,0)),"")</f>
        <v/>
      </c>
      <c r="J225" s="0">
        <f>IF($I225="","",IF(OR($I225=1,$I225=5,$I225=9),IF($K225="","Long fast month","Long fast month (LEAP)"),""))</f>
        <v/>
      </c>
      <c r="K225" s="0">
        <f>IFERROR(IF(INDEX(lookup!$G:$G,MATCH($C225,lookup!$D:$D,0))="LEAP","LEAP MONTH - counts as month "&amp;$I225&amp;", flagged for review",""),"")</f>
        <v/>
      </c>
    </row>
    <row r="226">
      <c r="A226" s="12">
        <f>A225+1</f>
        <v/>
      </c>
      <c r="B226" s="0">
        <f>TEXT(A226,"ddd")</f>
        <v/>
      </c>
      <c r="C226" s="0">
        <f>IFERROR(INDEX(lunar_ref!$B:$B,MATCH($A226,lunar_ref!$A:$A,0)),"")</f>
        <v/>
      </c>
      <c r="D226" s="0">
        <f>IFERROR(INDEX(lunar_ref!$C:$C,MATCH($A226,lunar_ref!$A:$A,0)),"")</f>
        <v/>
      </c>
      <c r="E226" s="0">
        <f>_xlfn.XLOOKUP($D226,lookup!$A:$A,lookup!$B:$B)</f>
        <v/>
      </c>
      <c r="F226" s="0">
        <f>IF($E226=1,"New",IF($E226=15,"Full",""))</f>
        <v/>
      </c>
      <c r="H226" s="0">
        <f>IF($E226="","",IF(OR($E226=8,$E226=14,$E226=15,$E226=23,$E227=1,$E228=1),"Fast day",""))</f>
        <v/>
      </c>
      <c r="I226" s="0">
        <f>IFERROR(INDEX(lookup!$E:$E,MATCH($C226,lookup!$D:$D,0)),"")</f>
        <v/>
      </c>
      <c r="J226" s="0">
        <f>IF($I226="","",IF(OR($I226=1,$I226=5,$I226=9),IF($K226="","Long fast month","Long fast month (LEAP)"),""))</f>
        <v/>
      </c>
      <c r="K226" s="0">
        <f>IFERROR(IF(INDEX(lookup!$G:$G,MATCH($C226,lookup!$D:$D,0))="LEAP","LEAP MONTH - counts as month "&amp;$I226&amp;", flagged for review",""),"")</f>
        <v/>
      </c>
    </row>
    <row r="227">
      <c r="A227" s="12">
        <f>A226+1</f>
        <v/>
      </c>
      <c r="B227" s="0">
        <f>TEXT(A227,"ddd")</f>
        <v/>
      </c>
      <c r="C227" s="0">
        <f>IFERROR(INDEX(lunar_ref!$B:$B,MATCH($A227,lunar_ref!$A:$A,0)),"")</f>
        <v/>
      </c>
      <c r="D227" s="0">
        <f>IFERROR(INDEX(lunar_ref!$C:$C,MATCH($A227,lunar_ref!$A:$A,0)),"")</f>
        <v/>
      </c>
      <c r="E227" s="0">
        <f>_xlfn.XLOOKUP($D227,lookup!$A:$A,lookup!$B:$B)</f>
        <v/>
      </c>
      <c r="F227" s="0">
        <f>IF($E227=1,"New",IF($E227=15,"Full",""))</f>
        <v/>
      </c>
      <c r="H227" s="0">
        <f>IF($E227="","",IF(OR($E227=8,$E227=14,$E227=15,$E227=23,$E228=1,$E229=1),"Fast day",""))</f>
        <v/>
      </c>
      <c r="I227" s="0">
        <f>IFERROR(INDEX(lookup!$E:$E,MATCH($C227,lookup!$D:$D,0)),"")</f>
        <v/>
      </c>
      <c r="J227" s="0">
        <f>IF($I227="","",IF(OR($I227=1,$I227=5,$I227=9),IF($K227="","Long fast month","Long fast month (LEAP)"),""))</f>
        <v/>
      </c>
      <c r="K227" s="0">
        <f>IFERROR(IF(INDEX(lookup!$G:$G,MATCH($C227,lookup!$D:$D,0))="LEAP","LEAP MONTH - counts as month "&amp;$I227&amp;", flagged for review",""),"")</f>
        <v/>
      </c>
    </row>
    <row r="228">
      <c r="A228" s="12">
        <f>A227+1</f>
        <v/>
      </c>
      <c r="B228" s="0">
        <f>TEXT(A228,"ddd")</f>
        <v/>
      </c>
      <c r="C228" s="0">
        <f>IFERROR(INDEX(lunar_ref!$B:$B,MATCH($A228,lunar_ref!$A:$A,0)),"")</f>
        <v/>
      </c>
      <c r="D228" s="0">
        <f>IFERROR(INDEX(lunar_ref!$C:$C,MATCH($A228,lunar_ref!$A:$A,0)),"")</f>
        <v/>
      </c>
      <c r="E228" s="0">
        <f>_xlfn.XLOOKUP($D228,lookup!$A:$A,lookup!$B:$B)</f>
        <v/>
      </c>
      <c r="F228" s="0">
        <f>IF($E228=1,"New",IF($E228=15,"Full",""))</f>
        <v/>
      </c>
      <c r="H228" s="0">
        <f>IF($E228="","",IF(OR($E228=8,$E228=14,$E228=15,$E228=23,$E229=1,$E230=1),"Fast day",""))</f>
        <v/>
      </c>
      <c r="I228" s="0">
        <f>IFERROR(INDEX(lookup!$E:$E,MATCH($C228,lookup!$D:$D,0)),"")</f>
        <v/>
      </c>
      <c r="J228" s="0">
        <f>IF($I228="","",IF(OR($I228=1,$I228=5,$I228=9),IF($K228="","Long fast month","Long fast month (LEAP)"),""))</f>
        <v/>
      </c>
      <c r="K228" s="0">
        <f>IFERROR(IF(INDEX(lookup!$G:$G,MATCH($C228,lookup!$D:$D,0))="LEAP","LEAP MONTH - counts as month "&amp;$I228&amp;", flagged for review",""),"")</f>
        <v/>
      </c>
    </row>
    <row r="229">
      <c r="A229" s="12">
        <f>A228+1</f>
        <v/>
      </c>
      <c r="B229" s="0">
        <f>TEXT(A229,"ddd")</f>
        <v/>
      </c>
      <c r="C229" s="0">
        <f>IFERROR(INDEX(lunar_ref!$B:$B,MATCH($A229,lunar_ref!$A:$A,0)),"")</f>
        <v/>
      </c>
      <c r="D229" s="0">
        <f>IFERROR(INDEX(lunar_ref!$C:$C,MATCH($A229,lunar_ref!$A:$A,0)),"")</f>
        <v/>
      </c>
      <c r="E229" s="0">
        <f>_xlfn.XLOOKUP($D229,lookup!$A:$A,lookup!$B:$B)</f>
        <v/>
      </c>
      <c r="F229" s="0">
        <f>IF($E229=1,"New",IF($E229=15,"Full",""))</f>
        <v/>
      </c>
      <c r="H229" s="0">
        <f>IF($E229="","",IF(OR($E229=8,$E229=14,$E229=15,$E229=23,$E230=1,$E231=1),"Fast day",""))</f>
        <v/>
      </c>
      <c r="I229" s="0">
        <f>IFERROR(INDEX(lookup!$E:$E,MATCH($C229,lookup!$D:$D,0)),"")</f>
        <v/>
      </c>
      <c r="J229" s="0">
        <f>IF($I229="","",IF(OR($I229=1,$I229=5,$I229=9),IF($K229="","Long fast month","Long fast month (LEAP)"),""))</f>
        <v/>
      </c>
      <c r="K229" s="0">
        <f>IFERROR(IF(INDEX(lookup!$G:$G,MATCH($C229,lookup!$D:$D,0))="LEAP","LEAP MONTH - counts as month "&amp;$I229&amp;", flagged for review",""),"")</f>
        <v/>
      </c>
    </row>
    <row r="230">
      <c r="A230" s="12">
        <f>A229+1</f>
        <v/>
      </c>
      <c r="B230" s="0">
        <f>TEXT(A230,"ddd")</f>
        <v/>
      </c>
      <c r="C230" s="0">
        <f>IFERROR(INDEX(lunar_ref!$B:$B,MATCH($A230,lunar_ref!$A:$A,0)),"")</f>
        <v/>
      </c>
      <c r="D230" s="0">
        <f>IFERROR(INDEX(lunar_ref!$C:$C,MATCH($A230,lunar_ref!$A:$A,0)),"")</f>
        <v/>
      </c>
      <c r="E230" s="0">
        <f>_xlfn.XLOOKUP($D230,lookup!$A:$A,lookup!$B:$B)</f>
        <v/>
      </c>
      <c r="F230" s="0">
        <f>IF($E230=1,"New",IF($E230=15,"Full",""))</f>
        <v/>
      </c>
      <c r="H230" s="0">
        <f>IF($E230="","",IF(OR($E230=8,$E230=14,$E230=15,$E230=23,$E231=1,$E232=1),"Fast day",""))</f>
        <v/>
      </c>
      <c r="I230" s="0">
        <f>IFERROR(INDEX(lookup!$E:$E,MATCH($C230,lookup!$D:$D,0)),"")</f>
        <v/>
      </c>
      <c r="J230" s="0">
        <f>IF($I230="","",IF(OR($I230=1,$I230=5,$I230=9),IF($K230="","Long fast month","Long fast month (LEAP)"),""))</f>
        <v/>
      </c>
      <c r="K230" s="0">
        <f>IFERROR(IF(INDEX(lookup!$G:$G,MATCH($C230,lookup!$D:$D,0))="LEAP","LEAP MONTH - counts as month "&amp;$I230&amp;", flagged for review",""),"")</f>
        <v/>
      </c>
    </row>
    <row r="231">
      <c r="A231" s="12">
        <f>A230+1</f>
        <v/>
      </c>
      <c r="B231" s="0">
        <f>TEXT(A231,"ddd")</f>
        <v/>
      </c>
      <c r="C231" s="0">
        <f>IFERROR(INDEX(lunar_ref!$B:$B,MATCH($A231,lunar_ref!$A:$A,0)),"")</f>
        <v/>
      </c>
      <c r="D231" s="0">
        <f>IFERROR(INDEX(lunar_ref!$C:$C,MATCH($A231,lunar_ref!$A:$A,0)),"")</f>
        <v/>
      </c>
      <c r="E231" s="0">
        <f>_xlfn.XLOOKUP($D231,lookup!$A:$A,lookup!$B:$B)</f>
        <v/>
      </c>
      <c r="F231" s="0">
        <f>IF($E231=1,"New",IF($E231=15,"Full",""))</f>
        <v/>
      </c>
      <c r="H231" s="0">
        <f>IF($E231="","",IF(OR($E231=8,$E231=14,$E231=15,$E231=23,$E232=1,$E233=1),"Fast day",""))</f>
        <v/>
      </c>
      <c r="I231" s="0">
        <f>IFERROR(INDEX(lookup!$E:$E,MATCH($C231,lookup!$D:$D,0)),"")</f>
        <v/>
      </c>
      <c r="J231" s="0">
        <f>IF($I231="","",IF(OR($I231=1,$I231=5,$I231=9),IF($K231="","Long fast month","Long fast month (LEAP)"),""))</f>
        <v/>
      </c>
      <c r="K231" s="0">
        <f>IFERROR(IF(INDEX(lookup!$G:$G,MATCH($C231,lookup!$D:$D,0))="LEAP","LEAP MONTH - counts as month "&amp;$I231&amp;", flagged for review",""),"")</f>
        <v/>
      </c>
    </row>
    <row r="232">
      <c r="A232" s="12">
        <f>A231+1</f>
        <v/>
      </c>
      <c r="B232" s="0">
        <f>TEXT(A232,"ddd")</f>
        <v/>
      </c>
      <c r="C232" s="0">
        <f>IFERROR(INDEX(lunar_ref!$B:$B,MATCH($A232,lunar_ref!$A:$A,0)),"")</f>
        <v/>
      </c>
      <c r="D232" s="0">
        <f>IFERROR(INDEX(lunar_ref!$C:$C,MATCH($A232,lunar_ref!$A:$A,0)),"")</f>
        <v/>
      </c>
      <c r="E232" s="0">
        <f>_xlfn.XLOOKUP($D232,lookup!$A:$A,lookup!$B:$B)</f>
        <v/>
      </c>
      <c r="F232" s="0">
        <f>IF($E232=1,"New",IF($E232=15,"Full",""))</f>
        <v/>
      </c>
      <c r="H232" s="0">
        <f>IF($E232="","",IF(OR($E232=8,$E232=14,$E232=15,$E232=23,$E233=1,$E234=1),"Fast day",""))</f>
        <v/>
      </c>
      <c r="I232" s="0">
        <f>IFERROR(INDEX(lookup!$E:$E,MATCH($C232,lookup!$D:$D,0)),"")</f>
        <v/>
      </c>
      <c r="J232" s="0">
        <f>IF($I232="","",IF(OR($I232=1,$I232=5,$I232=9),IF($K232="","Long fast month","Long fast month (LEAP)"),""))</f>
        <v/>
      </c>
      <c r="K232" s="0">
        <f>IFERROR(IF(INDEX(lookup!$G:$G,MATCH($C232,lookup!$D:$D,0))="LEAP","LEAP MONTH - counts as month "&amp;$I232&amp;", flagged for review",""),"")</f>
        <v/>
      </c>
    </row>
    <row r="233">
      <c r="A233" s="12">
        <f>A232+1</f>
        <v/>
      </c>
      <c r="B233" s="0">
        <f>TEXT(A233,"ddd")</f>
        <v/>
      </c>
      <c r="C233" s="0">
        <f>IFERROR(INDEX(lunar_ref!$B:$B,MATCH($A233,lunar_ref!$A:$A,0)),"")</f>
        <v/>
      </c>
      <c r="D233" s="0">
        <f>IFERROR(INDEX(lunar_ref!$C:$C,MATCH($A233,lunar_ref!$A:$A,0)),"")</f>
        <v/>
      </c>
      <c r="E233" s="0">
        <f>_xlfn.XLOOKUP($D233,lookup!$A:$A,lookup!$B:$B)</f>
        <v/>
      </c>
      <c r="F233" s="0">
        <f>IF($E233=1,"New",IF($E233=15,"Full",""))</f>
        <v/>
      </c>
      <c r="H233" s="0">
        <f>IF($E233="","",IF(OR($E233=8,$E233=14,$E233=15,$E233=23,$E234=1,$E235=1),"Fast day",""))</f>
        <v/>
      </c>
      <c r="I233" s="0">
        <f>IFERROR(INDEX(lookup!$E:$E,MATCH($C233,lookup!$D:$D,0)),"")</f>
        <v/>
      </c>
      <c r="J233" s="0">
        <f>IF($I233="","",IF(OR($I233=1,$I233=5,$I233=9),IF($K233="","Long fast month","Long fast month (LEAP)"),""))</f>
        <v/>
      </c>
      <c r="K233" s="0">
        <f>IFERROR(IF(INDEX(lookup!$G:$G,MATCH($C233,lookup!$D:$D,0))="LEAP","LEAP MONTH - counts as month "&amp;$I233&amp;", flagged for review",""),"")</f>
        <v/>
      </c>
    </row>
    <row r="234">
      <c r="A234" s="12">
        <f>A233+1</f>
        <v/>
      </c>
      <c r="B234" s="0">
        <f>TEXT(A234,"ddd")</f>
        <v/>
      </c>
      <c r="C234" s="0">
        <f>IFERROR(INDEX(lunar_ref!$B:$B,MATCH($A234,lunar_ref!$A:$A,0)),"")</f>
        <v/>
      </c>
      <c r="D234" s="0">
        <f>IFERROR(INDEX(lunar_ref!$C:$C,MATCH($A234,lunar_ref!$A:$A,0)),"")</f>
        <v/>
      </c>
      <c r="E234" s="0">
        <f>_xlfn.XLOOKUP($D234,lookup!$A:$A,lookup!$B:$B)</f>
        <v/>
      </c>
      <c r="F234" s="0">
        <f>IF($E234=1,"New",IF($E234=15,"Full",""))</f>
        <v/>
      </c>
      <c r="H234" s="0">
        <f>IF($E234="","",IF(OR($E234=8,$E234=14,$E234=15,$E234=23,$E235=1,$E236=1),"Fast day",""))</f>
        <v/>
      </c>
      <c r="I234" s="0">
        <f>IFERROR(INDEX(lookup!$E:$E,MATCH($C234,lookup!$D:$D,0)),"")</f>
        <v/>
      </c>
      <c r="J234" s="0">
        <f>IF($I234="","",IF(OR($I234=1,$I234=5,$I234=9),IF($K234="","Long fast month","Long fast month (LEAP)"),""))</f>
        <v/>
      </c>
      <c r="K234" s="0">
        <f>IFERROR(IF(INDEX(lookup!$G:$G,MATCH($C234,lookup!$D:$D,0))="LEAP","LEAP MONTH - counts as month "&amp;$I234&amp;", flagged for review",""),"")</f>
        <v/>
      </c>
    </row>
    <row r="235">
      <c r="A235" s="12">
        <f>A234+1</f>
        <v/>
      </c>
      <c r="B235" s="0">
        <f>TEXT(A235,"ddd")</f>
        <v/>
      </c>
      <c r="C235" s="0">
        <f>IFERROR(INDEX(lunar_ref!$B:$B,MATCH($A235,lunar_ref!$A:$A,0)),"")</f>
        <v/>
      </c>
      <c r="D235" s="0">
        <f>IFERROR(INDEX(lunar_ref!$C:$C,MATCH($A235,lunar_ref!$A:$A,0)),"")</f>
        <v/>
      </c>
      <c r="E235" s="0">
        <f>_xlfn.XLOOKUP($D235,lookup!$A:$A,lookup!$B:$B)</f>
        <v/>
      </c>
      <c r="F235" s="0">
        <f>IF($E235=1,"New",IF($E235=15,"Full",""))</f>
        <v/>
      </c>
      <c r="H235" s="0">
        <f>IF($E235="","",IF(OR($E235=8,$E235=14,$E235=15,$E235=23,$E236=1,$E237=1),"Fast day",""))</f>
        <v/>
      </c>
      <c r="I235" s="0">
        <f>IFERROR(INDEX(lookup!$E:$E,MATCH($C235,lookup!$D:$D,0)),"")</f>
        <v/>
      </c>
      <c r="J235" s="0">
        <f>IF($I235="","",IF(OR($I235=1,$I235=5,$I235=9),IF($K235="","Long fast month","Long fast month (LEAP)"),""))</f>
        <v/>
      </c>
      <c r="K235" s="0">
        <f>IFERROR(IF(INDEX(lookup!$G:$G,MATCH($C235,lookup!$D:$D,0))="LEAP","LEAP MONTH - counts as month "&amp;$I235&amp;", flagged for review",""),"")</f>
        <v/>
      </c>
    </row>
    <row r="236">
      <c r="A236" s="12">
        <f>A235+1</f>
        <v/>
      </c>
      <c r="B236" s="0">
        <f>TEXT(A236,"ddd")</f>
        <v/>
      </c>
      <c r="C236" s="0">
        <f>IFERROR(INDEX(lunar_ref!$B:$B,MATCH($A236,lunar_ref!$A:$A,0)),"")</f>
        <v/>
      </c>
      <c r="D236" s="0">
        <f>IFERROR(INDEX(lunar_ref!$C:$C,MATCH($A236,lunar_ref!$A:$A,0)),"")</f>
        <v/>
      </c>
      <c r="E236" s="0">
        <f>_xlfn.XLOOKUP($D236,lookup!$A:$A,lookup!$B:$B)</f>
        <v/>
      </c>
      <c r="F236" s="0">
        <f>IF($E236=1,"New",IF($E236=15,"Full",""))</f>
        <v/>
      </c>
      <c r="H236" s="0">
        <f>IF($E236="","",IF(OR($E236=8,$E236=14,$E236=15,$E236=23,$E237=1,$E238=1),"Fast day",""))</f>
        <v/>
      </c>
      <c r="I236" s="0">
        <f>IFERROR(INDEX(lookup!$E:$E,MATCH($C236,lookup!$D:$D,0)),"")</f>
        <v/>
      </c>
      <c r="J236" s="0">
        <f>IF($I236="","",IF(OR($I236=1,$I236=5,$I236=9),IF($K236="","Long fast month","Long fast month (LEAP)"),""))</f>
        <v/>
      </c>
      <c r="K236" s="0">
        <f>IFERROR(IF(INDEX(lookup!$G:$G,MATCH($C236,lookup!$D:$D,0))="LEAP","LEAP MONTH - counts as month "&amp;$I236&amp;", flagged for review",""),"")</f>
        <v/>
      </c>
    </row>
    <row r="237">
      <c r="A237" s="12">
        <f>A236+1</f>
        <v/>
      </c>
      <c r="B237" s="0">
        <f>TEXT(A237,"ddd")</f>
        <v/>
      </c>
      <c r="C237" s="0">
        <f>IFERROR(INDEX(lunar_ref!$B:$B,MATCH($A237,lunar_ref!$A:$A,0)),"")</f>
        <v/>
      </c>
      <c r="D237" s="0">
        <f>IFERROR(INDEX(lunar_ref!$C:$C,MATCH($A237,lunar_ref!$A:$A,0)),"")</f>
        <v/>
      </c>
      <c r="E237" s="0">
        <f>_xlfn.XLOOKUP($D237,lookup!$A:$A,lookup!$B:$B)</f>
        <v/>
      </c>
      <c r="F237" s="0">
        <f>IF($E237=1,"New",IF($E237=15,"Full",""))</f>
        <v/>
      </c>
      <c r="H237" s="0">
        <f>IF($E237="","",IF(OR($E237=8,$E237=14,$E237=15,$E237=23,$E238=1,$E239=1),"Fast day",""))</f>
        <v/>
      </c>
      <c r="I237" s="0">
        <f>IFERROR(INDEX(lookup!$E:$E,MATCH($C237,lookup!$D:$D,0)),"")</f>
        <v/>
      </c>
      <c r="J237" s="0">
        <f>IF($I237="","",IF(OR($I237=1,$I237=5,$I237=9),IF($K237="","Long fast month","Long fast month (LEAP)"),""))</f>
        <v/>
      </c>
      <c r="K237" s="0">
        <f>IFERROR(IF(INDEX(lookup!$G:$G,MATCH($C237,lookup!$D:$D,0))="LEAP","LEAP MONTH - counts as month "&amp;$I237&amp;", flagged for review",""),"")</f>
        <v/>
      </c>
    </row>
    <row r="238">
      <c r="A238" s="12">
        <f>A237+1</f>
        <v/>
      </c>
      <c r="B238" s="0">
        <f>TEXT(A238,"ddd")</f>
        <v/>
      </c>
      <c r="C238" s="0">
        <f>IFERROR(INDEX(lunar_ref!$B:$B,MATCH($A238,lunar_ref!$A:$A,0)),"")</f>
        <v/>
      </c>
      <c r="D238" s="0">
        <f>IFERROR(INDEX(lunar_ref!$C:$C,MATCH($A238,lunar_ref!$A:$A,0)),"")</f>
        <v/>
      </c>
      <c r="E238" s="0">
        <f>_xlfn.XLOOKUP($D238,lookup!$A:$A,lookup!$B:$B)</f>
        <v/>
      </c>
      <c r="F238" s="0">
        <f>IF($E238=1,"New",IF($E238=15,"Full",""))</f>
        <v/>
      </c>
      <c r="H238" s="0">
        <f>IF($E238="","",IF(OR($E238=8,$E238=14,$E238=15,$E238=23,$E239=1,$E240=1),"Fast day",""))</f>
        <v/>
      </c>
      <c r="I238" s="0">
        <f>IFERROR(INDEX(lookup!$E:$E,MATCH($C238,lookup!$D:$D,0)),"")</f>
        <v/>
      </c>
      <c r="J238" s="0">
        <f>IF($I238="","",IF(OR($I238=1,$I238=5,$I238=9),IF($K238="","Long fast month","Long fast month (LEAP)"),""))</f>
        <v/>
      </c>
      <c r="K238" s="0">
        <f>IFERROR(IF(INDEX(lookup!$G:$G,MATCH($C238,lookup!$D:$D,0))="LEAP","LEAP MONTH - counts as month "&amp;$I238&amp;", flagged for review",""),"")</f>
        <v/>
      </c>
    </row>
    <row r="239">
      <c r="A239" s="12">
        <f>A238+1</f>
        <v/>
      </c>
      <c r="B239" s="0">
        <f>TEXT(A239,"ddd")</f>
        <v/>
      </c>
      <c r="C239" s="0">
        <f>IFERROR(INDEX(lunar_ref!$B:$B,MATCH($A239,lunar_ref!$A:$A,0)),"")</f>
        <v/>
      </c>
      <c r="D239" s="0">
        <f>IFERROR(INDEX(lunar_ref!$C:$C,MATCH($A239,lunar_ref!$A:$A,0)),"")</f>
        <v/>
      </c>
      <c r="E239" s="0">
        <f>_xlfn.XLOOKUP($D239,lookup!$A:$A,lookup!$B:$B)</f>
        <v/>
      </c>
      <c r="F239" s="0">
        <f>IF($E239=1,"New",IF($E239=15,"Full",""))</f>
        <v/>
      </c>
      <c r="H239" s="0">
        <f>IF($E239="","",IF(OR($E239=8,$E239=14,$E239=15,$E239=23,$E240=1,$E241=1),"Fast day",""))</f>
        <v/>
      </c>
      <c r="I239" s="0">
        <f>IFERROR(INDEX(lookup!$E:$E,MATCH($C239,lookup!$D:$D,0)),"")</f>
        <v/>
      </c>
      <c r="J239" s="0">
        <f>IF($I239="","",IF(OR($I239=1,$I239=5,$I239=9),IF($K239="","Long fast month","Long fast month (LEAP)"),""))</f>
        <v/>
      </c>
      <c r="K239" s="0">
        <f>IFERROR(IF(INDEX(lookup!$G:$G,MATCH($C239,lookup!$D:$D,0))="LEAP","LEAP MONTH - counts as month "&amp;$I239&amp;", flagged for review",""),"")</f>
        <v/>
      </c>
    </row>
    <row r="240">
      <c r="A240" s="12">
        <f>A239+1</f>
        <v/>
      </c>
      <c r="B240" s="0">
        <f>TEXT(A240,"ddd")</f>
        <v/>
      </c>
      <c r="C240" s="0">
        <f>IFERROR(INDEX(lunar_ref!$B:$B,MATCH($A240,lunar_ref!$A:$A,0)),"")</f>
        <v/>
      </c>
      <c r="D240" s="0">
        <f>IFERROR(INDEX(lunar_ref!$C:$C,MATCH($A240,lunar_ref!$A:$A,0)),"")</f>
        <v/>
      </c>
      <c r="E240" s="0">
        <f>_xlfn.XLOOKUP($D240,lookup!$A:$A,lookup!$B:$B)</f>
        <v/>
      </c>
      <c r="F240" s="0">
        <f>IF($E240=1,"New",IF($E240=15,"Full",""))</f>
        <v/>
      </c>
      <c r="H240" s="0">
        <f>IF($E240="","",IF(OR($E240=8,$E240=14,$E240=15,$E240=23,$E241=1,$E242=1),"Fast day",""))</f>
        <v/>
      </c>
      <c r="I240" s="0">
        <f>IFERROR(INDEX(lookup!$E:$E,MATCH($C240,lookup!$D:$D,0)),"")</f>
        <v/>
      </c>
      <c r="J240" s="0">
        <f>IF($I240="","",IF(OR($I240=1,$I240=5,$I240=9),IF($K240="","Long fast month","Long fast month (LEAP)"),""))</f>
        <v/>
      </c>
      <c r="K240" s="0">
        <f>IFERROR(IF(INDEX(lookup!$G:$G,MATCH($C240,lookup!$D:$D,0))="LEAP","LEAP MONTH - counts as month "&amp;$I240&amp;", flagged for review",""),"")</f>
        <v/>
      </c>
    </row>
    <row r="241">
      <c r="A241" s="12">
        <f>A240+1</f>
        <v/>
      </c>
      <c r="B241" s="0">
        <f>TEXT(A241,"ddd")</f>
        <v/>
      </c>
      <c r="C241" s="0">
        <f>IFERROR(INDEX(lunar_ref!$B:$B,MATCH($A241,lunar_ref!$A:$A,0)),"")</f>
        <v/>
      </c>
      <c r="D241" s="0">
        <f>IFERROR(INDEX(lunar_ref!$C:$C,MATCH($A241,lunar_ref!$A:$A,0)),"")</f>
        <v/>
      </c>
      <c r="E241" s="0">
        <f>_xlfn.XLOOKUP($D241,lookup!$A:$A,lookup!$B:$B)</f>
        <v/>
      </c>
      <c r="F241" s="0">
        <f>IF($E241=1,"New",IF($E241=15,"Full",""))</f>
        <v/>
      </c>
      <c r="H241" s="0">
        <f>IF($E241="","",IF(OR($E241=8,$E241=14,$E241=15,$E241=23,$E242=1,$E243=1),"Fast day",""))</f>
        <v/>
      </c>
      <c r="I241" s="0">
        <f>IFERROR(INDEX(lookup!$E:$E,MATCH($C241,lookup!$D:$D,0)),"")</f>
        <v/>
      </c>
      <c r="J241" s="0">
        <f>IF($I241="","",IF(OR($I241=1,$I241=5,$I241=9),IF($K241="","Long fast month","Long fast month (LEAP)"),""))</f>
        <v/>
      </c>
      <c r="K241" s="0">
        <f>IFERROR(IF(INDEX(lookup!$G:$G,MATCH($C241,lookup!$D:$D,0))="LEAP","LEAP MONTH - counts as month "&amp;$I241&amp;", flagged for review",""),"")</f>
        <v/>
      </c>
    </row>
    <row r="242">
      <c r="A242" s="12">
        <f>A241+1</f>
        <v/>
      </c>
      <c r="B242" s="0">
        <f>TEXT(A242,"ddd")</f>
        <v/>
      </c>
      <c r="C242" s="0">
        <f>IFERROR(INDEX(lunar_ref!$B:$B,MATCH($A242,lunar_ref!$A:$A,0)),"")</f>
        <v/>
      </c>
      <c r="D242" s="0">
        <f>IFERROR(INDEX(lunar_ref!$C:$C,MATCH($A242,lunar_ref!$A:$A,0)),"")</f>
        <v/>
      </c>
      <c r="E242" s="0">
        <f>_xlfn.XLOOKUP($D242,lookup!$A:$A,lookup!$B:$B)</f>
        <v/>
      </c>
      <c r="F242" s="0">
        <f>IF($E242=1,"New",IF($E242=15,"Full",""))</f>
        <v/>
      </c>
      <c r="H242" s="0">
        <f>IF($E242="","",IF(OR($E242=8,$E242=14,$E242=15,$E242=23,$E243=1,$E244=1),"Fast day",""))</f>
        <v/>
      </c>
      <c r="I242" s="0">
        <f>IFERROR(INDEX(lookup!$E:$E,MATCH($C242,lookup!$D:$D,0)),"")</f>
        <v/>
      </c>
      <c r="J242" s="0">
        <f>IF($I242="","",IF(OR($I242=1,$I242=5,$I242=9),IF($K242="","Long fast month","Long fast month (LEAP)"),""))</f>
        <v/>
      </c>
      <c r="K242" s="0">
        <f>IFERROR(IF(INDEX(lookup!$G:$G,MATCH($C242,lookup!$D:$D,0))="LEAP","LEAP MONTH - counts as month "&amp;$I242&amp;", flagged for review",""),"")</f>
        <v/>
      </c>
    </row>
    <row r="243">
      <c r="A243" s="12">
        <f>A242+1</f>
        <v/>
      </c>
      <c r="B243" s="0">
        <f>TEXT(A243,"ddd")</f>
        <v/>
      </c>
      <c r="C243" s="0">
        <f>IFERROR(INDEX(lunar_ref!$B:$B,MATCH($A243,lunar_ref!$A:$A,0)),"")</f>
        <v/>
      </c>
      <c r="D243" s="0">
        <f>IFERROR(INDEX(lunar_ref!$C:$C,MATCH($A243,lunar_ref!$A:$A,0)),"")</f>
        <v/>
      </c>
      <c r="E243" s="0">
        <f>_xlfn.XLOOKUP($D243,lookup!$A:$A,lookup!$B:$B)</f>
        <v/>
      </c>
      <c r="F243" s="0">
        <f>IF($E243=1,"New",IF($E243=15,"Full",""))</f>
        <v/>
      </c>
      <c r="H243" s="0">
        <f>IF($E243="","",IF(OR($E243=8,$E243=14,$E243=15,$E243=23,$E244=1,$E245=1),"Fast day",""))</f>
        <v/>
      </c>
      <c r="I243" s="0">
        <f>IFERROR(INDEX(lookup!$E:$E,MATCH($C243,lookup!$D:$D,0)),"")</f>
        <v/>
      </c>
      <c r="J243" s="0">
        <f>IF($I243="","",IF(OR($I243=1,$I243=5,$I243=9),IF($K243="","Long fast month","Long fast month (LEAP)"),""))</f>
        <v/>
      </c>
      <c r="K243" s="0">
        <f>IFERROR(IF(INDEX(lookup!$G:$G,MATCH($C243,lookup!$D:$D,0))="LEAP","LEAP MONTH - counts as month "&amp;$I243&amp;", flagged for review",""),"")</f>
        <v/>
      </c>
    </row>
    <row r="244">
      <c r="A244" s="12">
        <f>A243+1</f>
        <v/>
      </c>
      <c r="B244" s="0">
        <f>TEXT(A244,"ddd")</f>
        <v/>
      </c>
      <c r="C244" s="0">
        <f>IFERROR(INDEX(lunar_ref!$B:$B,MATCH($A244,lunar_ref!$A:$A,0)),"")</f>
        <v/>
      </c>
      <c r="D244" s="0">
        <f>IFERROR(INDEX(lunar_ref!$C:$C,MATCH($A244,lunar_ref!$A:$A,0)),"")</f>
        <v/>
      </c>
      <c r="E244" s="0">
        <f>_xlfn.XLOOKUP($D244,lookup!$A:$A,lookup!$B:$B)</f>
        <v/>
      </c>
      <c r="F244" s="0">
        <f>IF($E244=1,"New",IF($E244=15,"Full",""))</f>
        <v/>
      </c>
      <c r="H244" s="0">
        <f>IF($E244="","",IF(OR($E244=8,$E244=14,$E244=15,$E244=23,$E245=1,$E246=1),"Fast day",""))</f>
        <v/>
      </c>
      <c r="I244" s="0">
        <f>IFERROR(INDEX(lookup!$E:$E,MATCH($C244,lookup!$D:$D,0)),"")</f>
        <v/>
      </c>
      <c r="J244" s="0">
        <f>IF($I244="","",IF(OR($I244=1,$I244=5,$I244=9),IF($K244="","Long fast month","Long fast month (LEAP)"),""))</f>
        <v/>
      </c>
      <c r="K244" s="0">
        <f>IFERROR(IF(INDEX(lookup!$G:$G,MATCH($C244,lookup!$D:$D,0))="LEAP","LEAP MONTH - counts as month "&amp;$I244&amp;", flagged for review",""),"")</f>
        <v/>
      </c>
    </row>
    <row r="245">
      <c r="A245" s="12">
        <f>A244+1</f>
        <v/>
      </c>
      <c r="B245" s="0">
        <f>TEXT(A245,"ddd")</f>
        <v/>
      </c>
      <c r="C245" s="0">
        <f>IFERROR(INDEX(lunar_ref!$B:$B,MATCH($A245,lunar_ref!$A:$A,0)),"")</f>
        <v/>
      </c>
      <c r="D245" s="0">
        <f>IFERROR(INDEX(lunar_ref!$C:$C,MATCH($A245,lunar_ref!$A:$A,0)),"")</f>
        <v/>
      </c>
      <c r="E245" s="0">
        <f>_xlfn.XLOOKUP($D245,lookup!$A:$A,lookup!$B:$B)</f>
        <v/>
      </c>
      <c r="F245" s="0">
        <f>IF($E245=1,"New",IF($E245=15,"Full",""))</f>
        <v/>
      </c>
      <c r="H245" s="0">
        <f>IF($E245="","",IF(OR($E245=8,$E245=14,$E245=15,$E245=23,$E246=1,$E247=1),"Fast day",""))</f>
        <v/>
      </c>
      <c r="I245" s="0">
        <f>IFERROR(INDEX(lookup!$E:$E,MATCH($C245,lookup!$D:$D,0)),"")</f>
        <v/>
      </c>
      <c r="J245" s="0">
        <f>IF($I245="","",IF(OR($I245=1,$I245=5,$I245=9),IF($K245="","Long fast month","Long fast month (LEAP)"),""))</f>
        <v/>
      </c>
      <c r="K245" s="0">
        <f>IFERROR(IF(INDEX(lookup!$G:$G,MATCH($C245,lookup!$D:$D,0))="LEAP","LEAP MONTH - counts as month "&amp;$I245&amp;", flagged for review",""),"")</f>
        <v/>
      </c>
    </row>
    <row r="246">
      <c r="A246" s="12">
        <f>A245+1</f>
        <v/>
      </c>
      <c r="B246" s="0">
        <f>TEXT(A246,"ddd")</f>
        <v/>
      </c>
      <c r="C246" s="0">
        <f>IFERROR(INDEX(lunar_ref!$B:$B,MATCH($A246,lunar_ref!$A:$A,0)),"")</f>
        <v/>
      </c>
      <c r="D246" s="0">
        <f>IFERROR(INDEX(lunar_ref!$C:$C,MATCH($A246,lunar_ref!$A:$A,0)),"")</f>
        <v/>
      </c>
      <c r="E246" s="0">
        <f>_xlfn.XLOOKUP($D246,lookup!$A:$A,lookup!$B:$B)</f>
        <v/>
      </c>
      <c r="F246" s="0">
        <f>IF($E246=1,"New",IF($E246=15,"Full",""))</f>
        <v/>
      </c>
      <c r="H246" s="0">
        <f>IF($E246="","",IF(OR($E246=8,$E246=14,$E246=15,$E246=23,$E247=1,$E248=1),"Fast day",""))</f>
        <v/>
      </c>
      <c r="I246" s="0">
        <f>IFERROR(INDEX(lookup!$E:$E,MATCH($C246,lookup!$D:$D,0)),"")</f>
        <v/>
      </c>
      <c r="J246" s="0">
        <f>IF($I246="","",IF(OR($I246=1,$I246=5,$I246=9),IF($K246="","Long fast month","Long fast month (LEAP)"),""))</f>
        <v/>
      </c>
      <c r="K246" s="0">
        <f>IFERROR(IF(INDEX(lookup!$G:$G,MATCH($C246,lookup!$D:$D,0))="LEAP","LEAP MONTH - counts as month "&amp;$I246&amp;", flagged for review",""),"")</f>
        <v/>
      </c>
    </row>
    <row r="247">
      <c r="A247" s="12">
        <f>A246+1</f>
        <v/>
      </c>
      <c r="B247" s="0">
        <f>TEXT(A247,"ddd")</f>
        <v/>
      </c>
      <c r="C247" s="0">
        <f>IFERROR(INDEX(lunar_ref!$B:$B,MATCH($A247,lunar_ref!$A:$A,0)),"")</f>
        <v/>
      </c>
      <c r="D247" s="0">
        <f>IFERROR(INDEX(lunar_ref!$C:$C,MATCH($A247,lunar_ref!$A:$A,0)),"")</f>
        <v/>
      </c>
      <c r="E247" s="0">
        <f>_xlfn.XLOOKUP($D247,lookup!$A:$A,lookup!$B:$B)</f>
        <v/>
      </c>
      <c r="F247" s="0">
        <f>IF($E247=1,"New",IF($E247=15,"Full",""))</f>
        <v/>
      </c>
      <c r="H247" s="0">
        <f>IF($E247="","",IF(OR($E247=8,$E247=14,$E247=15,$E247=23,$E248=1,$E249=1),"Fast day",""))</f>
        <v/>
      </c>
      <c r="I247" s="0">
        <f>IFERROR(INDEX(lookup!$E:$E,MATCH($C247,lookup!$D:$D,0)),"")</f>
        <v/>
      </c>
      <c r="J247" s="0">
        <f>IF($I247="","",IF(OR($I247=1,$I247=5,$I247=9),IF($K247="","Long fast month","Long fast month (LEAP)"),""))</f>
        <v/>
      </c>
      <c r="K247" s="0">
        <f>IFERROR(IF(INDEX(lookup!$G:$G,MATCH($C247,lookup!$D:$D,0))="LEAP","LEAP MONTH - counts as month "&amp;$I247&amp;", flagged for review",""),"")</f>
        <v/>
      </c>
    </row>
    <row r="248">
      <c r="A248" s="12">
        <f>A247+1</f>
        <v/>
      </c>
      <c r="B248" s="0">
        <f>TEXT(A248,"ddd")</f>
        <v/>
      </c>
      <c r="C248" s="0">
        <f>IFERROR(INDEX(lunar_ref!$B:$B,MATCH($A248,lunar_ref!$A:$A,0)),"")</f>
        <v/>
      </c>
      <c r="D248" s="0">
        <f>IFERROR(INDEX(lunar_ref!$C:$C,MATCH($A248,lunar_ref!$A:$A,0)),"")</f>
        <v/>
      </c>
      <c r="E248" s="0">
        <f>_xlfn.XLOOKUP($D248,lookup!$A:$A,lookup!$B:$B)</f>
        <v/>
      </c>
      <c r="F248" s="0">
        <f>IF($E248=1,"New",IF($E248=15,"Full",""))</f>
        <v/>
      </c>
      <c r="H248" s="0">
        <f>IF($E248="","",IF(OR($E248=8,$E248=14,$E248=15,$E248=23,$E249=1,$E250=1),"Fast day",""))</f>
        <v/>
      </c>
      <c r="I248" s="0">
        <f>IFERROR(INDEX(lookup!$E:$E,MATCH($C248,lookup!$D:$D,0)),"")</f>
        <v/>
      </c>
      <c r="J248" s="0">
        <f>IF($I248="","",IF(OR($I248=1,$I248=5,$I248=9),IF($K248="","Long fast month","Long fast month (LEAP)"),""))</f>
        <v/>
      </c>
      <c r="K248" s="0">
        <f>IFERROR(IF(INDEX(lookup!$G:$G,MATCH($C248,lookup!$D:$D,0))="LEAP","LEAP MONTH - counts as month "&amp;$I248&amp;", flagged for review",""),"")</f>
        <v/>
      </c>
    </row>
    <row r="249">
      <c r="A249" s="12">
        <f>A248+1</f>
        <v/>
      </c>
      <c r="B249" s="0">
        <f>TEXT(A249,"ddd")</f>
        <v/>
      </c>
      <c r="C249" s="0">
        <f>IFERROR(INDEX(lunar_ref!$B:$B,MATCH($A249,lunar_ref!$A:$A,0)),"")</f>
        <v/>
      </c>
      <c r="D249" s="0">
        <f>IFERROR(INDEX(lunar_ref!$C:$C,MATCH($A249,lunar_ref!$A:$A,0)),"")</f>
        <v/>
      </c>
      <c r="E249" s="0">
        <f>_xlfn.XLOOKUP($D249,lookup!$A:$A,lookup!$B:$B)</f>
        <v/>
      </c>
      <c r="F249" s="0">
        <f>IF($E249=1,"New",IF($E249=15,"Full",""))</f>
        <v/>
      </c>
      <c r="H249" s="0">
        <f>IF($E249="","",IF(OR($E249=8,$E249=14,$E249=15,$E249=23,$E250=1,$E251=1),"Fast day",""))</f>
        <v/>
      </c>
      <c r="I249" s="0">
        <f>IFERROR(INDEX(lookup!$E:$E,MATCH($C249,lookup!$D:$D,0)),"")</f>
        <v/>
      </c>
      <c r="J249" s="0">
        <f>IF($I249="","",IF(OR($I249=1,$I249=5,$I249=9),IF($K249="","Long fast month","Long fast month (LEAP)"),""))</f>
        <v/>
      </c>
      <c r="K249" s="0">
        <f>IFERROR(IF(INDEX(lookup!$G:$G,MATCH($C249,lookup!$D:$D,0))="LEAP","LEAP MONTH - counts as month "&amp;$I249&amp;", flagged for review",""),"")</f>
        <v/>
      </c>
    </row>
    <row r="250">
      <c r="A250" s="12">
        <f>A249+1</f>
        <v/>
      </c>
      <c r="B250" s="0">
        <f>TEXT(A250,"ddd")</f>
        <v/>
      </c>
      <c r="C250" s="0">
        <f>IFERROR(INDEX(lunar_ref!$B:$B,MATCH($A250,lunar_ref!$A:$A,0)),"")</f>
        <v/>
      </c>
      <c r="D250" s="0">
        <f>IFERROR(INDEX(lunar_ref!$C:$C,MATCH($A250,lunar_ref!$A:$A,0)),"")</f>
        <v/>
      </c>
      <c r="E250" s="0">
        <f>_xlfn.XLOOKUP($D250,lookup!$A:$A,lookup!$B:$B)</f>
        <v/>
      </c>
      <c r="F250" s="0">
        <f>IF($E250=1,"New",IF($E250=15,"Full",""))</f>
        <v/>
      </c>
      <c r="H250" s="0">
        <f>IF($E250="","",IF(OR($E250=8,$E250=14,$E250=15,$E250=23,$E251=1,$E252=1),"Fast day",""))</f>
        <v/>
      </c>
      <c r="I250" s="0">
        <f>IFERROR(INDEX(lookup!$E:$E,MATCH($C250,lookup!$D:$D,0)),"")</f>
        <v/>
      </c>
      <c r="J250" s="0">
        <f>IF($I250="","",IF(OR($I250=1,$I250=5,$I250=9),IF($K250="","Long fast month","Long fast month (LEAP)"),""))</f>
        <v/>
      </c>
      <c r="K250" s="0">
        <f>IFERROR(IF(INDEX(lookup!$G:$G,MATCH($C250,lookup!$D:$D,0))="LEAP","LEAP MONTH - counts as month "&amp;$I250&amp;", flagged for review",""),"")</f>
        <v/>
      </c>
    </row>
    <row r="251">
      <c r="A251" s="12">
        <f>A250+1</f>
        <v/>
      </c>
      <c r="B251" s="0">
        <f>TEXT(A251,"ddd")</f>
        <v/>
      </c>
      <c r="C251" s="0">
        <f>IFERROR(INDEX(lunar_ref!$B:$B,MATCH($A251,lunar_ref!$A:$A,0)),"")</f>
        <v/>
      </c>
      <c r="D251" s="0">
        <f>IFERROR(INDEX(lunar_ref!$C:$C,MATCH($A251,lunar_ref!$A:$A,0)),"")</f>
        <v/>
      </c>
      <c r="E251" s="0">
        <f>_xlfn.XLOOKUP($D251,lookup!$A:$A,lookup!$B:$B)</f>
        <v/>
      </c>
      <c r="F251" s="0">
        <f>IF($E251=1,"New",IF($E251=15,"Full",""))</f>
        <v/>
      </c>
      <c r="H251" s="0">
        <f>IF($E251="","",IF(OR($E251=8,$E251=14,$E251=15,$E251=23,$E252=1,$E253=1),"Fast day",""))</f>
        <v/>
      </c>
      <c r="I251" s="0">
        <f>IFERROR(INDEX(lookup!$E:$E,MATCH($C251,lookup!$D:$D,0)),"")</f>
        <v/>
      </c>
      <c r="J251" s="0">
        <f>IF($I251="","",IF(OR($I251=1,$I251=5,$I251=9),IF($K251="","Long fast month","Long fast month (LEAP)"),""))</f>
        <v/>
      </c>
      <c r="K251" s="0">
        <f>IFERROR(IF(INDEX(lookup!$G:$G,MATCH($C251,lookup!$D:$D,0))="LEAP","LEAP MONTH - counts as month "&amp;$I251&amp;", flagged for review",""),"")</f>
        <v/>
      </c>
    </row>
    <row r="252">
      <c r="A252" s="12">
        <f>A251+1</f>
        <v/>
      </c>
      <c r="B252" s="0">
        <f>TEXT(A252,"ddd")</f>
        <v/>
      </c>
      <c r="C252" s="0">
        <f>IFERROR(INDEX(lunar_ref!$B:$B,MATCH($A252,lunar_ref!$A:$A,0)),"")</f>
        <v/>
      </c>
      <c r="D252" s="0">
        <f>IFERROR(INDEX(lunar_ref!$C:$C,MATCH($A252,lunar_ref!$A:$A,0)),"")</f>
        <v/>
      </c>
      <c r="E252" s="0">
        <f>_xlfn.XLOOKUP($D252,lookup!$A:$A,lookup!$B:$B)</f>
        <v/>
      </c>
      <c r="F252" s="0">
        <f>IF($E252=1,"New",IF($E252=15,"Full",""))</f>
        <v/>
      </c>
      <c r="H252" s="0">
        <f>IF($E252="","",IF(OR($E252=8,$E252=14,$E252=15,$E252=23,$E253=1,$E254=1),"Fast day",""))</f>
        <v/>
      </c>
      <c r="I252" s="0">
        <f>IFERROR(INDEX(lookup!$E:$E,MATCH($C252,lookup!$D:$D,0)),"")</f>
        <v/>
      </c>
      <c r="J252" s="0">
        <f>IF($I252="","",IF(OR($I252=1,$I252=5,$I252=9),IF($K252="","Long fast month","Long fast month (LEAP)"),""))</f>
        <v/>
      </c>
      <c r="K252" s="0">
        <f>IFERROR(IF(INDEX(lookup!$G:$G,MATCH($C252,lookup!$D:$D,0))="LEAP","LEAP MONTH - counts as month "&amp;$I252&amp;", flagged for review",""),"")</f>
        <v/>
      </c>
    </row>
    <row r="253">
      <c r="A253" s="12">
        <f>A252+1</f>
        <v/>
      </c>
      <c r="B253" s="0">
        <f>TEXT(A253,"ddd")</f>
        <v/>
      </c>
      <c r="C253" s="0">
        <f>IFERROR(INDEX(lunar_ref!$B:$B,MATCH($A253,lunar_ref!$A:$A,0)),"")</f>
        <v/>
      </c>
      <c r="D253" s="0">
        <f>IFERROR(INDEX(lunar_ref!$C:$C,MATCH($A253,lunar_ref!$A:$A,0)),"")</f>
        <v/>
      </c>
      <c r="E253" s="0">
        <f>_xlfn.XLOOKUP($D253,lookup!$A:$A,lookup!$B:$B)</f>
        <v/>
      </c>
      <c r="F253" s="0">
        <f>IF($E253=1,"New",IF($E253=15,"Full",""))</f>
        <v/>
      </c>
      <c r="H253" s="0">
        <f>IF($E253="","",IF(OR($E253=8,$E253=14,$E253=15,$E253=23,$E254=1,$E255=1),"Fast day",""))</f>
        <v/>
      </c>
      <c r="I253" s="0">
        <f>IFERROR(INDEX(lookup!$E:$E,MATCH($C253,lookup!$D:$D,0)),"")</f>
        <v/>
      </c>
      <c r="J253" s="0">
        <f>IF($I253="","",IF(OR($I253=1,$I253=5,$I253=9),IF($K253="","Long fast month","Long fast month (LEAP)"),""))</f>
        <v/>
      </c>
      <c r="K253" s="0">
        <f>IFERROR(IF(INDEX(lookup!$G:$G,MATCH($C253,lookup!$D:$D,0))="LEAP","LEAP MONTH - counts as month "&amp;$I253&amp;", flagged for review",""),"")</f>
        <v/>
      </c>
    </row>
    <row r="254">
      <c r="A254" s="12">
        <f>A253+1</f>
        <v/>
      </c>
      <c r="B254" s="0">
        <f>TEXT(A254,"ddd")</f>
        <v/>
      </c>
      <c r="C254" s="0">
        <f>IFERROR(INDEX(lunar_ref!$B:$B,MATCH($A254,lunar_ref!$A:$A,0)),"")</f>
        <v/>
      </c>
      <c r="D254" s="0">
        <f>IFERROR(INDEX(lunar_ref!$C:$C,MATCH($A254,lunar_ref!$A:$A,0)),"")</f>
        <v/>
      </c>
      <c r="E254" s="0">
        <f>_xlfn.XLOOKUP($D254,lookup!$A:$A,lookup!$B:$B)</f>
        <v/>
      </c>
      <c r="F254" s="0">
        <f>IF($E254=1,"New",IF($E254=15,"Full",""))</f>
        <v/>
      </c>
      <c r="H254" s="0">
        <f>IF($E254="","",IF(OR($E254=8,$E254=14,$E254=15,$E254=23,$E255=1,$E256=1),"Fast day",""))</f>
        <v/>
      </c>
      <c r="I254" s="0">
        <f>IFERROR(INDEX(lookup!$E:$E,MATCH($C254,lookup!$D:$D,0)),"")</f>
        <v/>
      </c>
      <c r="J254" s="0">
        <f>IF($I254="","",IF(OR($I254=1,$I254=5,$I254=9),IF($K254="","Long fast month","Long fast month (LEAP)"),""))</f>
        <v/>
      </c>
      <c r="K254" s="0">
        <f>IFERROR(IF(INDEX(lookup!$G:$G,MATCH($C254,lookup!$D:$D,0))="LEAP","LEAP MONTH - counts as month "&amp;$I254&amp;", flagged for review",""),"")</f>
        <v/>
      </c>
    </row>
    <row r="255">
      <c r="A255" s="12">
        <f>A254+1</f>
        <v/>
      </c>
      <c r="B255" s="0">
        <f>TEXT(A255,"ddd")</f>
        <v/>
      </c>
      <c r="C255" s="0">
        <f>IFERROR(INDEX(lunar_ref!$B:$B,MATCH($A255,lunar_ref!$A:$A,0)),"")</f>
        <v/>
      </c>
      <c r="D255" s="0">
        <f>IFERROR(INDEX(lunar_ref!$C:$C,MATCH($A255,lunar_ref!$A:$A,0)),"")</f>
        <v/>
      </c>
      <c r="E255" s="0">
        <f>_xlfn.XLOOKUP($D255,lookup!$A:$A,lookup!$B:$B)</f>
        <v/>
      </c>
      <c r="F255" s="0">
        <f>IF($E255=1,"New",IF($E255=15,"Full",""))</f>
        <v/>
      </c>
      <c r="H255" s="0">
        <f>IF($E255="","",IF(OR($E255=8,$E255=14,$E255=15,$E255=23,$E256=1,$E257=1),"Fast day",""))</f>
        <v/>
      </c>
      <c r="I255" s="0">
        <f>IFERROR(INDEX(lookup!$E:$E,MATCH($C255,lookup!$D:$D,0)),"")</f>
        <v/>
      </c>
      <c r="J255" s="0">
        <f>IF($I255="","",IF(OR($I255=1,$I255=5,$I255=9),IF($K255="","Long fast month","Long fast month (LEAP)"),""))</f>
        <v/>
      </c>
      <c r="K255" s="0">
        <f>IFERROR(IF(INDEX(lookup!$G:$G,MATCH($C255,lookup!$D:$D,0))="LEAP","LEAP MONTH - counts as month "&amp;$I255&amp;", flagged for review",""),"")</f>
        <v/>
      </c>
    </row>
    <row r="256">
      <c r="A256" s="12">
        <f>A255+1</f>
        <v/>
      </c>
      <c r="B256" s="0">
        <f>TEXT(A256,"ddd")</f>
        <v/>
      </c>
      <c r="C256" s="0">
        <f>IFERROR(INDEX(lunar_ref!$B:$B,MATCH($A256,lunar_ref!$A:$A,0)),"")</f>
        <v/>
      </c>
      <c r="D256" s="0">
        <f>IFERROR(INDEX(lunar_ref!$C:$C,MATCH($A256,lunar_ref!$A:$A,0)),"")</f>
        <v/>
      </c>
      <c r="E256" s="0">
        <f>_xlfn.XLOOKUP($D256,lookup!$A:$A,lookup!$B:$B)</f>
        <v/>
      </c>
      <c r="F256" s="0">
        <f>IF($E256=1,"New",IF($E256=15,"Full",""))</f>
        <v/>
      </c>
      <c r="H256" s="0">
        <f>IF($E256="","",IF(OR($E256=8,$E256=14,$E256=15,$E256=23,$E257=1,$E258=1),"Fast day",""))</f>
        <v/>
      </c>
      <c r="I256" s="0">
        <f>IFERROR(INDEX(lookup!$E:$E,MATCH($C256,lookup!$D:$D,0)),"")</f>
        <v/>
      </c>
      <c r="J256" s="0">
        <f>IF($I256="","",IF(OR($I256=1,$I256=5,$I256=9),IF($K256="","Long fast month","Long fast month (LEAP)"),""))</f>
        <v/>
      </c>
      <c r="K256" s="0">
        <f>IFERROR(IF(INDEX(lookup!$G:$G,MATCH($C256,lookup!$D:$D,0))="LEAP","LEAP MONTH - counts as month "&amp;$I256&amp;", flagged for review",""),"")</f>
        <v/>
      </c>
    </row>
    <row r="257">
      <c r="A257" s="12">
        <f>A256+1</f>
        <v/>
      </c>
      <c r="B257" s="0">
        <f>TEXT(A257,"ddd")</f>
        <v/>
      </c>
      <c r="C257" s="0">
        <f>IFERROR(INDEX(lunar_ref!$B:$B,MATCH($A257,lunar_ref!$A:$A,0)),"")</f>
        <v/>
      </c>
      <c r="D257" s="0">
        <f>IFERROR(INDEX(lunar_ref!$C:$C,MATCH($A257,lunar_ref!$A:$A,0)),"")</f>
        <v/>
      </c>
      <c r="E257" s="0">
        <f>_xlfn.XLOOKUP($D257,lookup!$A:$A,lookup!$B:$B)</f>
        <v/>
      </c>
      <c r="F257" s="0">
        <f>IF($E257=1,"New",IF($E257=15,"Full",""))</f>
        <v/>
      </c>
      <c r="H257" s="0">
        <f>IF($E257="","",IF(OR($E257=8,$E257=14,$E257=15,$E257=23,$E258=1,$E259=1),"Fast day",""))</f>
        <v/>
      </c>
      <c r="I257" s="0">
        <f>IFERROR(INDEX(lookup!$E:$E,MATCH($C257,lookup!$D:$D,0)),"")</f>
        <v/>
      </c>
      <c r="J257" s="0">
        <f>IF($I257="","",IF(OR($I257=1,$I257=5,$I257=9),IF($K257="","Long fast month","Long fast month (LEAP)"),""))</f>
        <v/>
      </c>
      <c r="K257" s="0">
        <f>IFERROR(IF(INDEX(lookup!$G:$G,MATCH($C257,lookup!$D:$D,0))="LEAP","LEAP MONTH - counts as month "&amp;$I257&amp;", flagged for review",""),"")</f>
        <v/>
      </c>
    </row>
    <row r="258">
      <c r="A258" s="12">
        <f>A257+1</f>
        <v/>
      </c>
      <c r="B258" s="0">
        <f>TEXT(A258,"ddd")</f>
        <v/>
      </c>
      <c r="C258" s="0">
        <f>IFERROR(INDEX(lunar_ref!$B:$B,MATCH($A258,lunar_ref!$A:$A,0)),"")</f>
        <v/>
      </c>
      <c r="D258" s="0">
        <f>IFERROR(INDEX(lunar_ref!$C:$C,MATCH($A258,lunar_ref!$A:$A,0)),"")</f>
        <v/>
      </c>
      <c r="E258" s="0">
        <f>_xlfn.XLOOKUP($D258,lookup!$A:$A,lookup!$B:$B)</f>
        <v/>
      </c>
      <c r="F258" s="0">
        <f>IF($E258=1,"New",IF($E258=15,"Full",""))</f>
        <v/>
      </c>
      <c r="H258" s="0">
        <f>IF($E258="","",IF(OR($E258=8,$E258=14,$E258=15,$E258=23,$E259=1,$E260=1),"Fast day",""))</f>
        <v/>
      </c>
      <c r="I258" s="0">
        <f>IFERROR(INDEX(lookup!$E:$E,MATCH($C258,lookup!$D:$D,0)),"")</f>
        <v/>
      </c>
      <c r="J258" s="0">
        <f>IF($I258="","",IF(OR($I258=1,$I258=5,$I258=9),IF($K258="","Long fast month","Long fast month (LEAP)"),""))</f>
        <v/>
      </c>
      <c r="K258" s="0">
        <f>IFERROR(IF(INDEX(lookup!$G:$G,MATCH($C258,lookup!$D:$D,0))="LEAP","LEAP MONTH - counts as month "&amp;$I258&amp;", flagged for review",""),"")</f>
        <v/>
      </c>
    </row>
    <row r="259">
      <c r="A259" s="12">
        <f>A258+1</f>
        <v/>
      </c>
      <c r="B259" s="0">
        <f>TEXT(A259,"ddd")</f>
        <v/>
      </c>
      <c r="C259" s="0">
        <f>IFERROR(INDEX(lunar_ref!$B:$B,MATCH($A259,lunar_ref!$A:$A,0)),"")</f>
        <v/>
      </c>
      <c r="D259" s="0">
        <f>IFERROR(INDEX(lunar_ref!$C:$C,MATCH($A259,lunar_ref!$A:$A,0)),"")</f>
        <v/>
      </c>
      <c r="E259" s="0">
        <f>_xlfn.XLOOKUP($D259,lookup!$A:$A,lookup!$B:$B)</f>
        <v/>
      </c>
      <c r="F259" s="0">
        <f>IF($E259=1,"New",IF($E259=15,"Full",""))</f>
        <v/>
      </c>
      <c r="H259" s="0">
        <f>IF($E259="","",IF(OR($E259=8,$E259=14,$E259=15,$E259=23,$E260=1,$E261=1),"Fast day",""))</f>
        <v/>
      </c>
      <c r="I259" s="0">
        <f>IFERROR(INDEX(lookup!$E:$E,MATCH($C259,lookup!$D:$D,0)),"")</f>
        <v/>
      </c>
      <c r="J259" s="0">
        <f>IF($I259="","",IF(OR($I259=1,$I259=5,$I259=9),IF($K259="","Long fast month","Long fast month (LEAP)"),""))</f>
        <v/>
      </c>
      <c r="K259" s="0">
        <f>IFERROR(IF(INDEX(lookup!$G:$G,MATCH($C259,lookup!$D:$D,0))="LEAP","LEAP MONTH - counts as month "&amp;$I259&amp;", flagged for review",""),"")</f>
        <v/>
      </c>
    </row>
    <row r="260">
      <c r="A260" s="12">
        <f>A259+1</f>
        <v/>
      </c>
      <c r="B260" s="0">
        <f>TEXT(A260,"ddd")</f>
        <v/>
      </c>
      <c r="C260" s="0">
        <f>IFERROR(INDEX(lunar_ref!$B:$B,MATCH($A260,lunar_ref!$A:$A,0)),"")</f>
        <v/>
      </c>
      <c r="D260" s="0">
        <f>IFERROR(INDEX(lunar_ref!$C:$C,MATCH($A260,lunar_ref!$A:$A,0)),"")</f>
        <v/>
      </c>
      <c r="E260" s="0">
        <f>_xlfn.XLOOKUP($D260,lookup!$A:$A,lookup!$B:$B)</f>
        <v/>
      </c>
      <c r="F260" s="0">
        <f>IF($E260=1,"New",IF($E260=15,"Full",""))</f>
        <v/>
      </c>
      <c r="H260" s="0">
        <f>IF($E260="","",IF(OR($E260=8,$E260=14,$E260=15,$E260=23,$E261=1,$E262=1),"Fast day",""))</f>
        <v/>
      </c>
      <c r="I260" s="0">
        <f>IFERROR(INDEX(lookup!$E:$E,MATCH($C260,lookup!$D:$D,0)),"")</f>
        <v/>
      </c>
      <c r="J260" s="0">
        <f>IF($I260="","",IF(OR($I260=1,$I260=5,$I260=9),IF($K260="","Long fast month","Long fast month (LEAP)"),""))</f>
        <v/>
      </c>
      <c r="K260" s="0">
        <f>IFERROR(IF(INDEX(lookup!$G:$G,MATCH($C260,lookup!$D:$D,0))="LEAP","LEAP MONTH - counts as month "&amp;$I260&amp;", flagged for review",""),"")</f>
        <v/>
      </c>
    </row>
    <row r="261">
      <c r="A261" s="12">
        <f>A260+1</f>
        <v/>
      </c>
      <c r="B261" s="0">
        <f>TEXT(A261,"ddd")</f>
        <v/>
      </c>
      <c r="C261" s="0">
        <f>IFERROR(INDEX(lunar_ref!$B:$B,MATCH($A261,lunar_ref!$A:$A,0)),"")</f>
        <v/>
      </c>
      <c r="D261" s="0">
        <f>IFERROR(INDEX(lunar_ref!$C:$C,MATCH($A261,lunar_ref!$A:$A,0)),"")</f>
        <v/>
      </c>
      <c r="E261" s="0">
        <f>_xlfn.XLOOKUP($D261,lookup!$A:$A,lookup!$B:$B)</f>
        <v/>
      </c>
      <c r="F261" s="0">
        <f>IF($E261=1,"New",IF($E261=15,"Full",""))</f>
        <v/>
      </c>
      <c r="H261" s="0">
        <f>IF($E261="","",IF(OR($E261=8,$E261=14,$E261=15,$E261=23,$E262=1,$E263=1),"Fast day",""))</f>
        <v/>
      </c>
      <c r="I261" s="0">
        <f>IFERROR(INDEX(lookup!$E:$E,MATCH($C261,lookup!$D:$D,0)),"")</f>
        <v/>
      </c>
      <c r="J261" s="0">
        <f>IF($I261="","",IF(OR($I261=1,$I261=5,$I261=9),IF($K261="","Long fast month","Long fast month (LEAP)"),""))</f>
        <v/>
      </c>
      <c r="K261" s="0">
        <f>IFERROR(IF(INDEX(lookup!$G:$G,MATCH($C261,lookup!$D:$D,0))="LEAP","LEAP MONTH - counts as month "&amp;$I261&amp;", flagged for review",""),"")</f>
        <v/>
      </c>
    </row>
    <row r="262">
      <c r="A262" s="12">
        <f>A261+1</f>
        <v/>
      </c>
      <c r="B262" s="0">
        <f>TEXT(A262,"ddd")</f>
        <v/>
      </c>
      <c r="C262" s="0">
        <f>IFERROR(INDEX(lunar_ref!$B:$B,MATCH($A262,lunar_ref!$A:$A,0)),"")</f>
        <v/>
      </c>
      <c r="D262" s="0">
        <f>IFERROR(INDEX(lunar_ref!$C:$C,MATCH($A262,lunar_ref!$A:$A,0)),"")</f>
        <v/>
      </c>
      <c r="E262" s="0">
        <f>_xlfn.XLOOKUP($D262,lookup!$A:$A,lookup!$B:$B)</f>
        <v/>
      </c>
      <c r="F262" s="0">
        <f>IF($E262=1,"New",IF($E262=15,"Full",""))</f>
        <v/>
      </c>
      <c r="H262" s="0">
        <f>IF($E262="","",IF(OR($E262=8,$E262=14,$E262=15,$E262=23,$E263=1,$E264=1),"Fast day",""))</f>
        <v/>
      </c>
      <c r="I262" s="0">
        <f>IFERROR(INDEX(lookup!$E:$E,MATCH($C262,lookup!$D:$D,0)),"")</f>
        <v/>
      </c>
      <c r="J262" s="0">
        <f>IF($I262="","",IF(OR($I262=1,$I262=5,$I262=9),IF($K262="","Long fast month","Long fast month (LEAP)"),""))</f>
        <v/>
      </c>
      <c r="K262" s="0">
        <f>IFERROR(IF(INDEX(lookup!$G:$G,MATCH($C262,lookup!$D:$D,0))="LEAP","LEAP MONTH - counts as month "&amp;$I262&amp;", flagged for review",""),"")</f>
        <v/>
      </c>
    </row>
    <row r="263">
      <c r="A263" s="12">
        <f>A262+1</f>
        <v/>
      </c>
      <c r="B263" s="0">
        <f>TEXT(A263,"ddd")</f>
        <v/>
      </c>
      <c r="C263" s="0">
        <f>IFERROR(INDEX(lunar_ref!$B:$B,MATCH($A263,lunar_ref!$A:$A,0)),"")</f>
        <v/>
      </c>
      <c r="D263" s="0">
        <f>IFERROR(INDEX(lunar_ref!$C:$C,MATCH($A263,lunar_ref!$A:$A,0)),"")</f>
        <v/>
      </c>
      <c r="E263" s="0">
        <f>_xlfn.XLOOKUP($D263,lookup!$A:$A,lookup!$B:$B)</f>
        <v/>
      </c>
      <c r="F263" s="0">
        <f>IF($E263=1,"New",IF($E263=15,"Full",""))</f>
        <v/>
      </c>
      <c r="H263" s="0">
        <f>IF($E263="","",IF(OR($E263=8,$E263=14,$E263=15,$E263=23,$E264=1,$E265=1),"Fast day",""))</f>
        <v/>
      </c>
      <c r="I263" s="0">
        <f>IFERROR(INDEX(lookup!$E:$E,MATCH($C263,lookup!$D:$D,0)),"")</f>
        <v/>
      </c>
      <c r="J263" s="0">
        <f>IF($I263="","",IF(OR($I263=1,$I263=5,$I263=9),IF($K263="","Long fast month","Long fast month (LEAP)"),""))</f>
        <v/>
      </c>
      <c r="K263" s="0">
        <f>IFERROR(IF(INDEX(lookup!$G:$G,MATCH($C263,lookup!$D:$D,0))="LEAP","LEAP MONTH - counts as month "&amp;$I263&amp;", flagged for review",""),"")</f>
        <v/>
      </c>
    </row>
    <row r="264">
      <c r="A264" s="12">
        <f>A263+1</f>
        <v/>
      </c>
      <c r="B264" s="0">
        <f>TEXT(A264,"ddd")</f>
        <v/>
      </c>
      <c r="C264" s="0">
        <f>IFERROR(INDEX(lunar_ref!$B:$B,MATCH($A264,lunar_ref!$A:$A,0)),"")</f>
        <v/>
      </c>
      <c r="D264" s="0">
        <f>IFERROR(INDEX(lunar_ref!$C:$C,MATCH($A264,lunar_ref!$A:$A,0)),"")</f>
        <v/>
      </c>
      <c r="E264" s="0">
        <f>_xlfn.XLOOKUP($D264,lookup!$A:$A,lookup!$B:$B)</f>
        <v/>
      </c>
      <c r="F264" s="0">
        <f>IF($E264=1,"New",IF($E264=15,"Full",""))</f>
        <v/>
      </c>
      <c r="H264" s="0">
        <f>IF($E264="","",IF(OR($E264=8,$E264=14,$E264=15,$E264=23,$E265=1,$E266=1),"Fast day",""))</f>
        <v/>
      </c>
      <c r="I264" s="0">
        <f>IFERROR(INDEX(lookup!$E:$E,MATCH($C264,lookup!$D:$D,0)),"")</f>
        <v/>
      </c>
      <c r="J264" s="0">
        <f>IF($I264="","",IF(OR($I264=1,$I264=5,$I264=9),IF($K264="","Long fast month","Long fast month (LEAP)"),""))</f>
        <v/>
      </c>
      <c r="K264" s="0">
        <f>IFERROR(IF(INDEX(lookup!$G:$G,MATCH($C264,lookup!$D:$D,0))="LEAP","LEAP MONTH - counts as month "&amp;$I264&amp;", flagged for review",""),"")</f>
        <v/>
      </c>
    </row>
    <row r="265">
      <c r="A265" s="12">
        <f>A264+1</f>
        <v/>
      </c>
      <c r="B265" s="0">
        <f>TEXT(A265,"ddd")</f>
        <v/>
      </c>
      <c r="C265" s="0">
        <f>IFERROR(INDEX(lunar_ref!$B:$B,MATCH($A265,lunar_ref!$A:$A,0)),"")</f>
        <v/>
      </c>
      <c r="D265" s="0">
        <f>IFERROR(INDEX(lunar_ref!$C:$C,MATCH($A265,lunar_ref!$A:$A,0)),"")</f>
        <v/>
      </c>
      <c r="E265" s="0">
        <f>_xlfn.XLOOKUP($D265,lookup!$A:$A,lookup!$B:$B)</f>
        <v/>
      </c>
      <c r="F265" s="0">
        <f>IF($E265=1,"New",IF($E265=15,"Full",""))</f>
        <v/>
      </c>
      <c r="H265" s="0">
        <f>IF($E265="","",IF(OR($E265=8,$E265=14,$E265=15,$E265=23,$E266=1,$E267=1),"Fast day",""))</f>
        <v/>
      </c>
      <c r="I265" s="0">
        <f>IFERROR(INDEX(lookup!$E:$E,MATCH($C265,lookup!$D:$D,0)),"")</f>
        <v/>
      </c>
      <c r="J265" s="0">
        <f>IF($I265="","",IF(OR($I265=1,$I265=5,$I265=9),IF($K265="","Long fast month","Long fast month (LEAP)"),""))</f>
        <v/>
      </c>
      <c r="K265" s="0">
        <f>IFERROR(IF(INDEX(lookup!$G:$G,MATCH($C265,lookup!$D:$D,0))="LEAP","LEAP MONTH - counts as month "&amp;$I265&amp;", flagged for review",""),"")</f>
        <v/>
      </c>
    </row>
    <row r="266">
      <c r="A266" s="12">
        <f>A265+1</f>
        <v/>
      </c>
      <c r="B266" s="0">
        <f>TEXT(A266,"ddd")</f>
        <v/>
      </c>
      <c r="C266" s="0">
        <f>IFERROR(INDEX(lunar_ref!$B:$B,MATCH($A266,lunar_ref!$A:$A,0)),"")</f>
        <v/>
      </c>
      <c r="D266" s="0">
        <f>IFERROR(INDEX(lunar_ref!$C:$C,MATCH($A266,lunar_ref!$A:$A,0)),"")</f>
        <v/>
      </c>
      <c r="E266" s="0">
        <f>_xlfn.XLOOKUP($D266,lookup!$A:$A,lookup!$B:$B)</f>
        <v/>
      </c>
      <c r="F266" s="0">
        <f>IF($E266=1,"New",IF($E266=15,"Full",""))</f>
        <v/>
      </c>
      <c r="H266" s="0">
        <f>IF($E266="","",IF(OR($E266=8,$E266=14,$E266=15,$E266=23,$E267=1,$E268=1),"Fast day",""))</f>
        <v/>
      </c>
      <c r="I266" s="0">
        <f>IFERROR(INDEX(lookup!$E:$E,MATCH($C266,lookup!$D:$D,0)),"")</f>
        <v/>
      </c>
      <c r="J266" s="0">
        <f>IF($I266="","",IF(OR($I266=1,$I266=5,$I266=9),IF($K266="","Long fast month","Long fast month (LEAP)"),""))</f>
        <v/>
      </c>
      <c r="K266" s="0">
        <f>IFERROR(IF(INDEX(lookup!$G:$G,MATCH($C266,lookup!$D:$D,0))="LEAP","LEAP MONTH - counts as month "&amp;$I266&amp;", flagged for review",""),"")</f>
        <v/>
      </c>
    </row>
    <row r="267">
      <c r="A267" s="12">
        <f>A266+1</f>
        <v/>
      </c>
      <c r="B267" s="0">
        <f>TEXT(A267,"ddd")</f>
        <v/>
      </c>
      <c r="C267" s="0">
        <f>IFERROR(INDEX(lunar_ref!$B:$B,MATCH($A267,lunar_ref!$A:$A,0)),"")</f>
        <v/>
      </c>
      <c r="D267" s="0">
        <f>IFERROR(INDEX(lunar_ref!$C:$C,MATCH($A267,lunar_ref!$A:$A,0)),"")</f>
        <v/>
      </c>
      <c r="E267" s="0">
        <f>_xlfn.XLOOKUP($D267,lookup!$A:$A,lookup!$B:$B)</f>
        <v/>
      </c>
      <c r="F267" s="0">
        <f>IF($E267=1,"New",IF($E267=15,"Full",""))</f>
        <v/>
      </c>
      <c r="H267" s="0">
        <f>IF($E267="","",IF(OR($E267=8,$E267=14,$E267=15,$E267=23,$E268=1,$E269=1),"Fast day",""))</f>
        <v/>
      </c>
      <c r="I267" s="0">
        <f>IFERROR(INDEX(lookup!$E:$E,MATCH($C267,lookup!$D:$D,0)),"")</f>
        <v/>
      </c>
      <c r="J267" s="0">
        <f>IF($I267="","",IF(OR($I267=1,$I267=5,$I267=9),IF($K267="","Long fast month","Long fast month (LEAP)"),""))</f>
        <v/>
      </c>
      <c r="K267" s="0">
        <f>IFERROR(IF(INDEX(lookup!$G:$G,MATCH($C267,lookup!$D:$D,0))="LEAP","LEAP MONTH - counts as month "&amp;$I267&amp;", flagged for review",""),"")</f>
        <v/>
      </c>
    </row>
    <row r="268">
      <c r="A268" s="12">
        <f>A267+1</f>
        <v/>
      </c>
      <c r="B268" s="0">
        <f>TEXT(A268,"ddd")</f>
        <v/>
      </c>
      <c r="C268" s="0">
        <f>IFERROR(INDEX(lunar_ref!$B:$B,MATCH($A268,lunar_ref!$A:$A,0)),"")</f>
        <v/>
      </c>
      <c r="D268" s="0">
        <f>IFERROR(INDEX(lunar_ref!$C:$C,MATCH($A268,lunar_ref!$A:$A,0)),"")</f>
        <v/>
      </c>
      <c r="E268" s="0">
        <f>_xlfn.XLOOKUP($D268,lookup!$A:$A,lookup!$B:$B)</f>
        <v/>
      </c>
      <c r="F268" s="0">
        <f>IF($E268=1,"New",IF($E268=15,"Full",""))</f>
        <v/>
      </c>
      <c r="H268" s="0">
        <f>IF($E268="","",IF(OR($E268=8,$E268=14,$E268=15,$E268=23,$E269=1,$E270=1),"Fast day",""))</f>
        <v/>
      </c>
      <c r="I268" s="0">
        <f>IFERROR(INDEX(lookup!$E:$E,MATCH($C268,lookup!$D:$D,0)),"")</f>
        <v/>
      </c>
      <c r="J268" s="0">
        <f>IF($I268="","",IF(OR($I268=1,$I268=5,$I268=9),IF($K268="","Long fast month","Long fast month (LEAP)"),""))</f>
        <v/>
      </c>
      <c r="K268" s="0">
        <f>IFERROR(IF(INDEX(lookup!$G:$G,MATCH($C268,lookup!$D:$D,0))="LEAP","LEAP MONTH - counts as month "&amp;$I268&amp;", flagged for review",""),"")</f>
        <v/>
      </c>
    </row>
    <row r="269">
      <c r="A269" s="12">
        <f>A268+1</f>
        <v/>
      </c>
      <c r="B269" s="0">
        <f>TEXT(A269,"ddd")</f>
        <v/>
      </c>
      <c r="C269" s="0">
        <f>IFERROR(INDEX(lunar_ref!$B:$B,MATCH($A269,lunar_ref!$A:$A,0)),"")</f>
        <v/>
      </c>
      <c r="D269" s="0">
        <f>IFERROR(INDEX(lunar_ref!$C:$C,MATCH($A269,lunar_ref!$A:$A,0)),"")</f>
        <v/>
      </c>
      <c r="E269" s="0">
        <f>_xlfn.XLOOKUP($D269,lookup!$A:$A,lookup!$B:$B)</f>
        <v/>
      </c>
      <c r="F269" s="0">
        <f>IF($E269=1,"New",IF($E269=15,"Full",""))</f>
        <v/>
      </c>
      <c r="H269" s="0">
        <f>IF($E269="","",IF(OR($E269=8,$E269=14,$E269=15,$E269=23,$E270=1,$E271=1),"Fast day",""))</f>
        <v/>
      </c>
      <c r="I269" s="0">
        <f>IFERROR(INDEX(lookup!$E:$E,MATCH($C269,lookup!$D:$D,0)),"")</f>
        <v/>
      </c>
      <c r="J269" s="0">
        <f>IF($I269="","",IF(OR($I269=1,$I269=5,$I269=9),IF($K269="","Long fast month","Long fast month (LEAP)"),""))</f>
        <v/>
      </c>
      <c r="K269" s="0">
        <f>IFERROR(IF(INDEX(lookup!$G:$G,MATCH($C269,lookup!$D:$D,0))="LEAP","LEAP MONTH - counts as month "&amp;$I269&amp;", flagged for review",""),"")</f>
        <v/>
      </c>
    </row>
    <row r="270">
      <c r="A270" s="12">
        <f>A269+1</f>
        <v/>
      </c>
      <c r="B270" s="0">
        <f>TEXT(A270,"ddd")</f>
        <v/>
      </c>
      <c r="C270" s="0">
        <f>IFERROR(INDEX(lunar_ref!$B:$B,MATCH($A270,lunar_ref!$A:$A,0)),"")</f>
        <v/>
      </c>
      <c r="D270" s="0">
        <f>IFERROR(INDEX(lunar_ref!$C:$C,MATCH($A270,lunar_ref!$A:$A,0)),"")</f>
        <v/>
      </c>
      <c r="E270" s="0">
        <f>_xlfn.XLOOKUP($D270,lookup!$A:$A,lookup!$B:$B)</f>
        <v/>
      </c>
      <c r="F270" s="0">
        <f>IF($E270=1,"New",IF($E270=15,"Full",""))</f>
        <v/>
      </c>
      <c r="H270" s="0">
        <f>IF($E270="","",IF(OR($E270=8,$E270=14,$E270=15,$E270=23,$E271=1,$E272=1),"Fast day",""))</f>
        <v/>
      </c>
      <c r="I270" s="0">
        <f>IFERROR(INDEX(lookup!$E:$E,MATCH($C270,lookup!$D:$D,0)),"")</f>
        <v/>
      </c>
      <c r="J270" s="0">
        <f>IF($I270="","",IF(OR($I270=1,$I270=5,$I270=9),IF($K270="","Long fast month","Long fast month (LEAP)"),""))</f>
        <v/>
      </c>
      <c r="K270" s="0">
        <f>IFERROR(IF(INDEX(lookup!$G:$G,MATCH($C270,lookup!$D:$D,0))="LEAP","LEAP MONTH - counts as month "&amp;$I270&amp;", flagged for review",""),"")</f>
        <v/>
      </c>
    </row>
    <row r="271">
      <c r="A271" s="12">
        <f>A270+1</f>
        <v/>
      </c>
      <c r="B271" s="0">
        <f>TEXT(A271,"ddd")</f>
        <v/>
      </c>
      <c r="C271" s="0">
        <f>IFERROR(INDEX(lunar_ref!$B:$B,MATCH($A271,lunar_ref!$A:$A,0)),"")</f>
        <v/>
      </c>
      <c r="D271" s="0">
        <f>IFERROR(INDEX(lunar_ref!$C:$C,MATCH($A271,lunar_ref!$A:$A,0)),"")</f>
        <v/>
      </c>
      <c r="E271" s="0">
        <f>_xlfn.XLOOKUP($D271,lookup!$A:$A,lookup!$B:$B)</f>
        <v/>
      </c>
      <c r="F271" s="0">
        <f>IF($E271=1,"New",IF($E271=15,"Full",""))</f>
        <v/>
      </c>
      <c r="H271" s="0">
        <f>IF($E271="","",IF(OR($E271=8,$E271=14,$E271=15,$E271=23,$E272=1,$E273=1),"Fast day",""))</f>
        <v/>
      </c>
      <c r="I271" s="0">
        <f>IFERROR(INDEX(lookup!$E:$E,MATCH($C271,lookup!$D:$D,0)),"")</f>
        <v/>
      </c>
      <c r="J271" s="0">
        <f>IF($I271="","",IF(OR($I271=1,$I271=5,$I271=9),IF($K271="","Long fast month","Long fast month (LEAP)"),""))</f>
        <v/>
      </c>
      <c r="K271" s="0">
        <f>IFERROR(IF(INDEX(lookup!$G:$G,MATCH($C271,lookup!$D:$D,0))="LEAP","LEAP MONTH - counts as month "&amp;$I271&amp;", flagged for review",""),"")</f>
        <v/>
      </c>
    </row>
    <row r="272">
      <c r="A272" s="12">
        <f>A271+1</f>
        <v/>
      </c>
      <c r="B272" s="0">
        <f>TEXT(A272,"ddd")</f>
        <v/>
      </c>
      <c r="C272" s="0">
        <f>IFERROR(INDEX(lunar_ref!$B:$B,MATCH($A272,lunar_ref!$A:$A,0)),"")</f>
        <v/>
      </c>
      <c r="D272" s="0">
        <f>IFERROR(INDEX(lunar_ref!$C:$C,MATCH($A272,lunar_ref!$A:$A,0)),"")</f>
        <v/>
      </c>
      <c r="E272" s="0">
        <f>_xlfn.XLOOKUP($D272,lookup!$A:$A,lookup!$B:$B)</f>
        <v/>
      </c>
      <c r="F272" s="0">
        <f>IF($E272=1,"New",IF($E272=15,"Full",""))</f>
        <v/>
      </c>
      <c r="H272" s="0">
        <f>IF($E272="","",IF(OR($E272=8,$E272=14,$E272=15,$E272=23,$E273=1,$E274=1),"Fast day",""))</f>
        <v/>
      </c>
      <c r="I272" s="0">
        <f>IFERROR(INDEX(lookup!$E:$E,MATCH($C272,lookup!$D:$D,0)),"")</f>
        <v/>
      </c>
      <c r="J272" s="0">
        <f>IF($I272="","",IF(OR($I272=1,$I272=5,$I272=9),IF($K272="","Long fast month","Long fast month (LEAP)"),""))</f>
        <v/>
      </c>
      <c r="K272" s="0">
        <f>IFERROR(IF(INDEX(lookup!$G:$G,MATCH($C272,lookup!$D:$D,0))="LEAP","LEAP MONTH - counts as month "&amp;$I272&amp;", flagged for review",""),"")</f>
        <v/>
      </c>
    </row>
    <row r="273">
      <c r="A273" s="12">
        <f>A272+1</f>
        <v/>
      </c>
      <c r="B273" s="0">
        <f>TEXT(A273,"ddd")</f>
        <v/>
      </c>
      <c r="C273" s="0">
        <f>IFERROR(INDEX(lunar_ref!$B:$B,MATCH($A273,lunar_ref!$A:$A,0)),"")</f>
        <v/>
      </c>
      <c r="D273" s="0">
        <f>IFERROR(INDEX(lunar_ref!$C:$C,MATCH($A273,lunar_ref!$A:$A,0)),"")</f>
        <v/>
      </c>
      <c r="E273" s="0">
        <f>_xlfn.XLOOKUP($D273,lookup!$A:$A,lookup!$B:$B)</f>
        <v/>
      </c>
      <c r="F273" s="0">
        <f>IF($E273=1,"New",IF($E273=15,"Full",""))</f>
        <v/>
      </c>
      <c r="H273" s="0">
        <f>IF($E273="","",IF(OR($E273=8,$E273=14,$E273=15,$E273=23,$E274=1,$E275=1),"Fast day",""))</f>
        <v/>
      </c>
      <c r="I273" s="0">
        <f>IFERROR(INDEX(lookup!$E:$E,MATCH($C273,lookup!$D:$D,0)),"")</f>
        <v/>
      </c>
      <c r="J273" s="0">
        <f>IF($I273="","",IF(OR($I273=1,$I273=5,$I273=9),IF($K273="","Long fast month","Long fast month (LEAP)"),""))</f>
        <v/>
      </c>
      <c r="K273" s="0">
        <f>IFERROR(IF(INDEX(lookup!$G:$G,MATCH($C273,lookup!$D:$D,0))="LEAP","LEAP MONTH - counts as month "&amp;$I273&amp;", flagged for review",""),"")</f>
        <v/>
      </c>
    </row>
    <row r="274">
      <c r="A274" s="12">
        <f>A273+1</f>
        <v/>
      </c>
      <c r="B274" s="0">
        <f>TEXT(A274,"ddd")</f>
        <v/>
      </c>
      <c r="C274" s="0">
        <f>IFERROR(INDEX(lunar_ref!$B:$B,MATCH($A274,lunar_ref!$A:$A,0)),"")</f>
        <v/>
      </c>
      <c r="D274" s="0">
        <f>IFERROR(INDEX(lunar_ref!$C:$C,MATCH($A274,lunar_ref!$A:$A,0)),"")</f>
        <v/>
      </c>
      <c r="E274" s="0">
        <f>_xlfn.XLOOKUP($D274,lookup!$A:$A,lookup!$B:$B)</f>
        <v/>
      </c>
      <c r="F274" s="0">
        <f>IF($E274=1,"New",IF($E274=15,"Full",""))</f>
        <v/>
      </c>
      <c r="H274" s="0">
        <f>IF($E274="","",IF(OR($E274=8,$E274=14,$E274=15,$E274=23,$E275=1,$E276=1),"Fast day",""))</f>
        <v/>
      </c>
      <c r="I274" s="0">
        <f>IFERROR(INDEX(lookup!$E:$E,MATCH($C274,lookup!$D:$D,0)),"")</f>
        <v/>
      </c>
      <c r="J274" s="0">
        <f>IF($I274="","",IF(OR($I274=1,$I274=5,$I274=9),IF($K274="","Long fast month","Long fast month (LEAP)"),""))</f>
        <v/>
      </c>
      <c r="K274" s="0">
        <f>IFERROR(IF(INDEX(lookup!$G:$G,MATCH($C274,lookup!$D:$D,0))="LEAP","LEAP MONTH - counts as month "&amp;$I274&amp;", flagged for review",""),"")</f>
        <v/>
      </c>
    </row>
    <row r="275">
      <c r="A275" s="12">
        <f>A274+1</f>
        <v/>
      </c>
      <c r="B275" s="0">
        <f>TEXT(A275,"ddd")</f>
        <v/>
      </c>
      <c r="C275" s="0">
        <f>IFERROR(INDEX(lunar_ref!$B:$B,MATCH($A275,lunar_ref!$A:$A,0)),"")</f>
        <v/>
      </c>
      <c r="D275" s="0">
        <f>IFERROR(INDEX(lunar_ref!$C:$C,MATCH($A275,lunar_ref!$A:$A,0)),"")</f>
        <v/>
      </c>
      <c r="E275" s="0">
        <f>_xlfn.XLOOKUP($D275,lookup!$A:$A,lookup!$B:$B)</f>
        <v/>
      </c>
      <c r="F275" s="0">
        <f>IF($E275=1,"New",IF($E275=15,"Full",""))</f>
        <v/>
      </c>
      <c r="H275" s="0">
        <f>IF($E275="","",IF(OR($E275=8,$E275=14,$E275=15,$E275=23,$E276=1,$E277=1),"Fast day",""))</f>
        <v/>
      </c>
      <c r="I275" s="0">
        <f>IFERROR(INDEX(lookup!$E:$E,MATCH($C275,lookup!$D:$D,0)),"")</f>
        <v/>
      </c>
      <c r="J275" s="0">
        <f>IF($I275="","",IF(OR($I275=1,$I275=5,$I275=9),IF($K275="","Long fast month","Long fast month (LEAP)"),""))</f>
        <v/>
      </c>
      <c r="K275" s="0">
        <f>IFERROR(IF(INDEX(lookup!$G:$G,MATCH($C275,lookup!$D:$D,0))="LEAP","LEAP MONTH - counts as month "&amp;$I275&amp;", flagged for review",""),"")</f>
        <v/>
      </c>
    </row>
    <row r="276">
      <c r="A276" s="12">
        <f>A275+1</f>
        <v/>
      </c>
      <c r="B276" s="0">
        <f>TEXT(A276,"ddd")</f>
        <v/>
      </c>
      <c r="C276" s="0">
        <f>IFERROR(INDEX(lunar_ref!$B:$B,MATCH($A276,lunar_ref!$A:$A,0)),"")</f>
        <v/>
      </c>
      <c r="D276" s="0">
        <f>IFERROR(INDEX(lunar_ref!$C:$C,MATCH($A276,lunar_ref!$A:$A,0)),"")</f>
        <v/>
      </c>
      <c r="E276" s="0">
        <f>_xlfn.XLOOKUP($D276,lookup!$A:$A,lookup!$B:$B)</f>
        <v/>
      </c>
      <c r="F276" s="0">
        <f>IF($E276=1,"New",IF($E276=15,"Full",""))</f>
        <v/>
      </c>
      <c r="H276" s="0">
        <f>IF($E276="","",IF(OR($E276=8,$E276=14,$E276=15,$E276=23,$E277=1,$E278=1),"Fast day",""))</f>
        <v/>
      </c>
      <c r="I276" s="0">
        <f>IFERROR(INDEX(lookup!$E:$E,MATCH($C276,lookup!$D:$D,0)),"")</f>
        <v/>
      </c>
      <c r="J276" s="0">
        <f>IF($I276="","",IF(OR($I276=1,$I276=5,$I276=9),IF($K276="","Long fast month","Long fast month (LEAP)"),""))</f>
        <v/>
      </c>
      <c r="K276" s="0">
        <f>IFERROR(IF(INDEX(lookup!$G:$G,MATCH($C276,lookup!$D:$D,0))="LEAP","LEAP MONTH - counts as month "&amp;$I276&amp;", flagged for review",""),"")</f>
        <v/>
      </c>
    </row>
    <row r="277">
      <c r="A277" s="12">
        <f>A276+1</f>
        <v/>
      </c>
      <c r="B277" s="0">
        <f>TEXT(A277,"ddd")</f>
        <v/>
      </c>
      <c r="C277" s="0">
        <f>IFERROR(INDEX(lunar_ref!$B:$B,MATCH($A277,lunar_ref!$A:$A,0)),"")</f>
        <v/>
      </c>
      <c r="D277" s="0">
        <f>IFERROR(INDEX(lunar_ref!$C:$C,MATCH($A277,lunar_ref!$A:$A,0)),"")</f>
        <v/>
      </c>
      <c r="E277" s="0">
        <f>_xlfn.XLOOKUP($D277,lookup!$A:$A,lookup!$B:$B)</f>
        <v/>
      </c>
      <c r="F277" s="0">
        <f>IF($E277=1,"New",IF($E277=15,"Full",""))</f>
        <v/>
      </c>
      <c r="H277" s="0">
        <f>IF($E277="","",IF(OR($E277=8,$E277=14,$E277=15,$E277=23,$E278=1,$E279=1),"Fast day",""))</f>
        <v/>
      </c>
      <c r="I277" s="0">
        <f>IFERROR(INDEX(lookup!$E:$E,MATCH($C277,lookup!$D:$D,0)),"")</f>
        <v/>
      </c>
      <c r="J277" s="0">
        <f>IF($I277="","",IF(OR($I277=1,$I277=5,$I277=9),IF($K277="","Long fast month","Long fast month (LEAP)"),""))</f>
        <v/>
      </c>
      <c r="K277" s="0">
        <f>IFERROR(IF(INDEX(lookup!$G:$G,MATCH($C277,lookup!$D:$D,0))="LEAP","LEAP MONTH - counts as month "&amp;$I277&amp;", flagged for review",""),"")</f>
        <v/>
      </c>
    </row>
    <row r="278">
      <c r="A278" s="12">
        <f>A277+1</f>
        <v/>
      </c>
      <c r="B278" s="0">
        <f>TEXT(A278,"ddd")</f>
        <v/>
      </c>
      <c r="C278" s="0">
        <f>IFERROR(INDEX(lunar_ref!$B:$B,MATCH($A278,lunar_ref!$A:$A,0)),"")</f>
        <v/>
      </c>
      <c r="D278" s="0">
        <f>IFERROR(INDEX(lunar_ref!$C:$C,MATCH($A278,lunar_ref!$A:$A,0)),"")</f>
        <v/>
      </c>
      <c r="E278" s="0">
        <f>_xlfn.XLOOKUP($D278,lookup!$A:$A,lookup!$B:$B)</f>
        <v/>
      </c>
      <c r="F278" s="0">
        <f>IF($E278=1,"New",IF($E278=15,"Full",""))</f>
        <v/>
      </c>
      <c r="H278" s="0">
        <f>IF($E278="","",IF(OR($E278=8,$E278=14,$E278=15,$E278=23,$E279=1,$E280=1),"Fast day",""))</f>
        <v/>
      </c>
      <c r="I278" s="0">
        <f>IFERROR(INDEX(lookup!$E:$E,MATCH($C278,lookup!$D:$D,0)),"")</f>
        <v/>
      </c>
      <c r="J278" s="0">
        <f>IF($I278="","",IF(OR($I278=1,$I278=5,$I278=9),IF($K278="","Long fast month","Long fast month (LEAP)"),""))</f>
        <v/>
      </c>
      <c r="K278" s="0">
        <f>IFERROR(IF(INDEX(lookup!$G:$G,MATCH($C278,lookup!$D:$D,0))="LEAP","LEAP MONTH - counts as month "&amp;$I278&amp;", flagged for review",""),"")</f>
        <v/>
      </c>
    </row>
    <row r="279">
      <c r="A279" s="12">
        <f>A278+1</f>
        <v/>
      </c>
      <c r="B279" s="0">
        <f>TEXT(A279,"ddd")</f>
        <v/>
      </c>
      <c r="C279" s="0">
        <f>IFERROR(INDEX(lunar_ref!$B:$B,MATCH($A279,lunar_ref!$A:$A,0)),"")</f>
        <v/>
      </c>
      <c r="D279" s="0">
        <f>IFERROR(INDEX(lunar_ref!$C:$C,MATCH($A279,lunar_ref!$A:$A,0)),"")</f>
        <v/>
      </c>
      <c r="E279" s="0">
        <f>_xlfn.XLOOKUP($D279,lookup!$A:$A,lookup!$B:$B)</f>
        <v/>
      </c>
      <c r="F279" s="0">
        <f>IF($E279=1,"New",IF($E279=15,"Full",""))</f>
        <v/>
      </c>
      <c r="H279" s="0">
        <f>IF($E279="","",IF(OR($E279=8,$E279=14,$E279=15,$E279=23,$E280=1,$E281=1),"Fast day",""))</f>
        <v/>
      </c>
      <c r="I279" s="0">
        <f>IFERROR(INDEX(lookup!$E:$E,MATCH($C279,lookup!$D:$D,0)),"")</f>
        <v/>
      </c>
      <c r="J279" s="0">
        <f>IF($I279="","",IF(OR($I279=1,$I279=5,$I279=9),IF($K279="","Long fast month","Long fast month (LEAP)"),""))</f>
        <v/>
      </c>
      <c r="K279" s="0">
        <f>IFERROR(IF(INDEX(lookup!$G:$G,MATCH($C279,lookup!$D:$D,0))="LEAP","LEAP MONTH - counts as month "&amp;$I279&amp;", flagged for review",""),"")</f>
        <v/>
      </c>
    </row>
    <row r="280">
      <c r="A280" s="12">
        <f>A279+1</f>
        <v/>
      </c>
      <c r="B280" s="0">
        <f>TEXT(A280,"ddd")</f>
        <v/>
      </c>
      <c r="C280" s="0">
        <f>IFERROR(INDEX(lunar_ref!$B:$B,MATCH($A280,lunar_ref!$A:$A,0)),"")</f>
        <v/>
      </c>
      <c r="D280" s="0">
        <f>IFERROR(INDEX(lunar_ref!$C:$C,MATCH($A280,lunar_ref!$A:$A,0)),"")</f>
        <v/>
      </c>
      <c r="E280" s="0">
        <f>_xlfn.XLOOKUP($D280,lookup!$A:$A,lookup!$B:$B)</f>
        <v/>
      </c>
      <c r="F280" s="0">
        <f>IF($E280=1,"New",IF($E280=15,"Full",""))</f>
        <v/>
      </c>
      <c r="H280" s="0">
        <f>IF($E280="","",IF(OR($E280=8,$E280=14,$E280=15,$E280=23,$E281=1,$E282=1),"Fast day",""))</f>
        <v/>
      </c>
      <c r="I280" s="0">
        <f>IFERROR(INDEX(lookup!$E:$E,MATCH($C280,lookup!$D:$D,0)),"")</f>
        <v/>
      </c>
      <c r="J280" s="0">
        <f>IF($I280="","",IF(OR($I280=1,$I280=5,$I280=9),IF($K280="","Long fast month","Long fast month (LEAP)"),""))</f>
        <v/>
      </c>
      <c r="K280" s="0">
        <f>IFERROR(IF(INDEX(lookup!$G:$G,MATCH($C280,lookup!$D:$D,0))="LEAP","LEAP MONTH - counts as month "&amp;$I280&amp;", flagged for review",""),"")</f>
        <v/>
      </c>
    </row>
    <row r="281">
      <c r="A281" s="12">
        <f>A280+1</f>
        <v/>
      </c>
      <c r="B281" s="0">
        <f>TEXT(A281,"ddd")</f>
        <v/>
      </c>
      <c r="C281" s="0">
        <f>IFERROR(INDEX(lunar_ref!$B:$B,MATCH($A281,lunar_ref!$A:$A,0)),"")</f>
        <v/>
      </c>
      <c r="D281" s="0">
        <f>IFERROR(INDEX(lunar_ref!$C:$C,MATCH($A281,lunar_ref!$A:$A,0)),"")</f>
        <v/>
      </c>
      <c r="E281" s="0">
        <f>_xlfn.XLOOKUP($D281,lookup!$A:$A,lookup!$B:$B)</f>
        <v/>
      </c>
      <c r="F281" s="0">
        <f>IF($E281=1,"New",IF($E281=15,"Full",""))</f>
        <v/>
      </c>
      <c r="H281" s="0">
        <f>IF($E281="","",IF(OR($E281=8,$E281=14,$E281=15,$E281=23,$E282=1,$E283=1),"Fast day",""))</f>
        <v/>
      </c>
      <c r="I281" s="0">
        <f>IFERROR(INDEX(lookup!$E:$E,MATCH($C281,lookup!$D:$D,0)),"")</f>
        <v/>
      </c>
      <c r="J281" s="0">
        <f>IF($I281="","",IF(OR($I281=1,$I281=5,$I281=9),IF($K281="","Long fast month","Long fast month (LEAP)"),""))</f>
        <v/>
      </c>
      <c r="K281" s="0">
        <f>IFERROR(IF(INDEX(lookup!$G:$G,MATCH($C281,lookup!$D:$D,0))="LEAP","LEAP MONTH - counts as month "&amp;$I281&amp;", flagged for review",""),"")</f>
        <v/>
      </c>
    </row>
    <row r="282">
      <c r="A282" s="12">
        <f>A281+1</f>
        <v/>
      </c>
      <c r="B282" s="0">
        <f>TEXT(A282,"ddd")</f>
        <v/>
      </c>
      <c r="C282" s="0">
        <f>IFERROR(INDEX(lunar_ref!$B:$B,MATCH($A282,lunar_ref!$A:$A,0)),"")</f>
        <v/>
      </c>
      <c r="D282" s="0">
        <f>IFERROR(INDEX(lunar_ref!$C:$C,MATCH($A282,lunar_ref!$A:$A,0)),"")</f>
        <v/>
      </c>
      <c r="E282" s="0">
        <f>_xlfn.XLOOKUP($D282,lookup!$A:$A,lookup!$B:$B)</f>
        <v/>
      </c>
      <c r="F282" s="0">
        <f>IF($E282=1,"New",IF($E282=15,"Full",""))</f>
        <v/>
      </c>
      <c r="H282" s="0">
        <f>IF($E282="","",IF(OR($E282=8,$E282=14,$E282=15,$E282=23,$E283=1,$E284=1),"Fast day",""))</f>
        <v/>
      </c>
      <c r="I282" s="0">
        <f>IFERROR(INDEX(lookup!$E:$E,MATCH($C282,lookup!$D:$D,0)),"")</f>
        <v/>
      </c>
      <c r="J282" s="0">
        <f>IF($I282="","",IF(OR($I282=1,$I282=5,$I282=9),IF($K282="","Long fast month","Long fast month (LEAP)"),""))</f>
        <v/>
      </c>
      <c r="K282" s="0">
        <f>IFERROR(IF(INDEX(lookup!$G:$G,MATCH($C282,lookup!$D:$D,0))="LEAP","LEAP MONTH - counts as month "&amp;$I282&amp;", flagged for review",""),"")</f>
        <v/>
      </c>
    </row>
    <row r="283">
      <c r="A283" s="12">
        <f>A282+1</f>
        <v/>
      </c>
      <c r="B283" s="0">
        <f>TEXT(A283,"ddd")</f>
        <v/>
      </c>
      <c r="C283" s="0">
        <f>IFERROR(INDEX(lunar_ref!$B:$B,MATCH($A283,lunar_ref!$A:$A,0)),"")</f>
        <v/>
      </c>
      <c r="D283" s="0">
        <f>IFERROR(INDEX(lunar_ref!$C:$C,MATCH($A283,lunar_ref!$A:$A,0)),"")</f>
        <v/>
      </c>
      <c r="E283" s="0">
        <f>_xlfn.XLOOKUP($D283,lookup!$A:$A,lookup!$B:$B)</f>
        <v/>
      </c>
      <c r="F283" s="0">
        <f>IF($E283=1,"New",IF($E283=15,"Full",""))</f>
        <v/>
      </c>
      <c r="H283" s="0">
        <f>IF($E283="","",IF(OR($E283=8,$E283=14,$E283=15,$E283=23,$E284=1,$E285=1),"Fast day",""))</f>
        <v/>
      </c>
      <c r="I283" s="0">
        <f>IFERROR(INDEX(lookup!$E:$E,MATCH($C283,lookup!$D:$D,0)),"")</f>
        <v/>
      </c>
      <c r="J283" s="0">
        <f>IF($I283="","",IF(OR($I283=1,$I283=5,$I283=9),IF($K283="","Long fast month","Long fast month (LEAP)"),""))</f>
        <v/>
      </c>
      <c r="K283" s="0">
        <f>IFERROR(IF(INDEX(lookup!$G:$G,MATCH($C283,lookup!$D:$D,0))="LEAP","LEAP MONTH - counts as month "&amp;$I283&amp;", flagged for review",""),"")</f>
        <v/>
      </c>
    </row>
    <row r="284">
      <c r="A284" s="12">
        <f>A283+1</f>
        <v/>
      </c>
      <c r="B284" s="0">
        <f>TEXT(A284,"ddd")</f>
        <v/>
      </c>
      <c r="C284" s="0">
        <f>IFERROR(INDEX(lunar_ref!$B:$B,MATCH($A284,lunar_ref!$A:$A,0)),"")</f>
        <v/>
      </c>
      <c r="D284" s="0">
        <f>IFERROR(INDEX(lunar_ref!$C:$C,MATCH($A284,lunar_ref!$A:$A,0)),"")</f>
        <v/>
      </c>
      <c r="E284" s="0">
        <f>_xlfn.XLOOKUP($D284,lookup!$A:$A,lookup!$B:$B)</f>
        <v/>
      </c>
      <c r="F284" s="0">
        <f>IF($E284=1,"New",IF($E284=15,"Full",""))</f>
        <v/>
      </c>
      <c r="H284" s="0">
        <f>IF($E284="","",IF(OR($E284=8,$E284=14,$E284=15,$E284=23,$E285=1,$E286=1),"Fast day",""))</f>
        <v/>
      </c>
      <c r="I284" s="0">
        <f>IFERROR(INDEX(lookup!$E:$E,MATCH($C284,lookup!$D:$D,0)),"")</f>
        <v/>
      </c>
      <c r="J284" s="0">
        <f>IF($I284="","",IF(OR($I284=1,$I284=5,$I284=9),IF($K284="","Long fast month","Long fast month (LEAP)"),""))</f>
        <v/>
      </c>
      <c r="K284" s="0">
        <f>IFERROR(IF(INDEX(lookup!$G:$G,MATCH($C284,lookup!$D:$D,0))="LEAP","LEAP MONTH - counts as month "&amp;$I284&amp;", flagged for review",""),"")</f>
        <v/>
      </c>
    </row>
    <row r="285">
      <c r="A285" s="12">
        <f>A284+1</f>
        <v/>
      </c>
      <c r="B285" s="0">
        <f>TEXT(A285,"ddd")</f>
        <v/>
      </c>
      <c r="C285" s="0">
        <f>IFERROR(INDEX(lunar_ref!$B:$B,MATCH($A285,lunar_ref!$A:$A,0)),"")</f>
        <v/>
      </c>
      <c r="D285" s="0">
        <f>IFERROR(INDEX(lunar_ref!$C:$C,MATCH($A285,lunar_ref!$A:$A,0)),"")</f>
        <v/>
      </c>
      <c r="E285" s="0">
        <f>_xlfn.XLOOKUP($D285,lookup!$A:$A,lookup!$B:$B)</f>
        <v/>
      </c>
      <c r="F285" s="0">
        <f>IF($E285=1,"New",IF($E285=15,"Full",""))</f>
        <v/>
      </c>
      <c r="H285" s="0">
        <f>IF($E285="","",IF(OR($E285=8,$E285=14,$E285=15,$E285=23,$E286=1,$E287=1),"Fast day",""))</f>
        <v/>
      </c>
      <c r="I285" s="0">
        <f>IFERROR(INDEX(lookup!$E:$E,MATCH($C285,lookup!$D:$D,0)),"")</f>
        <v/>
      </c>
      <c r="J285" s="0">
        <f>IF($I285="","",IF(OR($I285=1,$I285=5,$I285=9),IF($K285="","Long fast month","Long fast month (LEAP)"),""))</f>
        <v/>
      </c>
      <c r="K285" s="0">
        <f>IFERROR(IF(INDEX(lookup!$G:$G,MATCH($C285,lookup!$D:$D,0))="LEAP","LEAP MONTH - counts as month "&amp;$I285&amp;", flagged for review",""),"")</f>
        <v/>
      </c>
    </row>
    <row r="286">
      <c r="A286" s="12">
        <f>A285+1</f>
        <v/>
      </c>
      <c r="B286" s="0">
        <f>TEXT(A286,"ddd")</f>
        <v/>
      </c>
      <c r="C286" s="0">
        <f>IFERROR(INDEX(lunar_ref!$B:$B,MATCH($A286,lunar_ref!$A:$A,0)),"")</f>
        <v/>
      </c>
      <c r="D286" s="0">
        <f>IFERROR(INDEX(lunar_ref!$C:$C,MATCH($A286,lunar_ref!$A:$A,0)),"")</f>
        <v/>
      </c>
      <c r="E286" s="0">
        <f>_xlfn.XLOOKUP($D286,lookup!$A:$A,lookup!$B:$B)</f>
        <v/>
      </c>
      <c r="F286" s="0">
        <f>IF($E286=1,"New",IF($E286=15,"Full",""))</f>
        <v/>
      </c>
      <c r="H286" s="0">
        <f>IF($E286="","",IF(OR($E286=8,$E286=14,$E286=15,$E286=23,$E287=1,$E288=1),"Fast day",""))</f>
        <v/>
      </c>
      <c r="I286" s="0">
        <f>IFERROR(INDEX(lookup!$E:$E,MATCH($C286,lookup!$D:$D,0)),"")</f>
        <v/>
      </c>
      <c r="J286" s="0">
        <f>IF($I286="","",IF(OR($I286=1,$I286=5,$I286=9),IF($K286="","Long fast month","Long fast month (LEAP)"),""))</f>
        <v/>
      </c>
      <c r="K286" s="0">
        <f>IFERROR(IF(INDEX(lookup!$G:$G,MATCH($C286,lookup!$D:$D,0))="LEAP","LEAP MONTH - counts as month "&amp;$I286&amp;", flagged for review",""),"")</f>
        <v/>
      </c>
    </row>
    <row r="287">
      <c r="A287" s="12">
        <f>A286+1</f>
        <v/>
      </c>
      <c r="B287" s="0">
        <f>TEXT(A287,"ddd")</f>
        <v/>
      </c>
      <c r="C287" s="0">
        <f>IFERROR(INDEX(lunar_ref!$B:$B,MATCH($A287,lunar_ref!$A:$A,0)),"")</f>
        <v/>
      </c>
      <c r="D287" s="0">
        <f>IFERROR(INDEX(lunar_ref!$C:$C,MATCH($A287,lunar_ref!$A:$A,0)),"")</f>
        <v/>
      </c>
      <c r="E287" s="0">
        <f>_xlfn.XLOOKUP($D287,lookup!$A:$A,lookup!$B:$B)</f>
        <v/>
      </c>
      <c r="F287" s="0">
        <f>IF($E287=1,"New",IF($E287=15,"Full",""))</f>
        <v/>
      </c>
      <c r="H287" s="0">
        <f>IF($E287="","",IF(OR($E287=8,$E287=14,$E287=15,$E287=23,$E288=1,$E289=1),"Fast day",""))</f>
        <v/>
      </c>
      <c r="I287" s="0">
        <f>IFERROR(INDEX(lookup!$E:$E,MATCH($C287,lookup!$D:$D,0)),"")</f>
        <v/>
      </c>
      <c r="J287" s="0">
        <f>IF($I287="","",IF(OR($I287=1,$I287=5,$I287=9),IF($K287="","Long fast month","Long fast month (LEAP)"),""))</f>
        <v/>
      </c>
      <c r="K287" s="0">
        <f>IFERROR(IF(INDEX(lookup!$G:$G,MATCH($C287,lookup!$D:$D,0))="LEAP","LEAP MONTH - counts as month "&amp;$I287&amp;", flagged for review",""),"")</f>
        <v/>
      </c>
    </row>
    <row r="288">
      <c r="A288" s="12">
        <f>A287+1</f>
        <v/>
      </c>
      <c r="B288" s="0">
        <f>TEXT(A288,"ddd")</f>
        <v/>
      </c>
      <c r="C288" s="0">
        <f>IFERROR(INDEX(lunar_ref!$B:$B,MATCH($A288,lunar_ref!$A:$A,0)),"")</f>
        <v/>
      </c>
      <c r="D288" s="0">
        <f>IFERROR(INDEX(lunar_ref!$C:$C,MATCH($A288,lunar_ref!$A:$A,0)),"")</f>
        <v/>
      </c>
      <c r="E288" s="0">
        <f>_xlfn.XLOOKUP($D288,lookup!$A:$A,lookup!$B:$B)</f>
        <v/>
      </c>
      <c r="F288" s="0">
        <f>IF($E288=1,"New",IF($E288=15,"Full",""))</f>
        <v/>
      </c>
      <c r="H288" s="0">
        <f>IF($E288="","",IF(OR($E288=8,$E288=14,$E288=15,$E288=23,$E289=1,$E290=1),"Fast day",""))</f>
        <v/>
      </c>
      <c r="I288" s="0">
        <f>IFERROR(INDEX(lookup!$E:$E,MATCH($C288,lookup!$D:$D,0)),"")</f>
        <v/>
      </c>
      <c r="J288" s="0">
        <f>IF($I288="","",IF(OR($I288=1,$I288=5,$I288=9),IF($K288="","Long fast month","Long fast month (LEAP)"),""))</f>
        <v/>
      </c>
      <c r="K288" s="0">
        <f>IFERROR(IF(INDEX(lookup!$G:$G,MATCH($C288,lookup!$D:$D,0))="LEAP","LEAP MONTH - counts as month "&amp;$I288&amp;", flagged for review",""),"")</f>
        <v/>
      </c>
    </row>
    <row r="289">
      <c r="A289" s="12">
        <f>A288+1</f>
        <v/>
      </c>
      <c r="B289" s="0">
        <f>TEXT(A289,"ddd")</f>
        <v/>
      </c>
      <c r="C289" s="0">
        <f>IFERROR(INDEX(lunar_ref!$B:$B,MATCH($A289,lunar_ref!$A:$A,0)),"")</f>
        <v/>
      </c>
      <c r="D289" s="0">
        <f>IFERROR(INDEX(lunar_ref!$C:$C,MATCH($A289,lunar_ref!$A:$A,0)),"")</f>
        <v/>
      </c>
      <c r="E289" s="0">
        <f>_xlfn.XLOOKUP($D289,lookup!$A:$A,lookup!$B:$B)</f>
        <v/>
      </c>
      <c r="F289" s="0">
        <f>IF($E289=1,"New",IF($E289=15,"Full",""))</f>
        <v/>
      </c>
      <c r="H289" s="0">
        <f>IF($E289="","",IF(OR($E289=8,$E289=14,$E289=15,$E289=23,$E290=1,$E291=1),"Fast day",""))</f>
        <v/>
      </c>
      <c r="I289" s="0">
        <f>IFERROR(INDEX(lookup!$E:$E,MATCH($C289,lookup!$D:$D,0)),"")</f>
        <v/>
      </c>
      <c r="J289" s="0">
        <f>IF($I289="","",IF(OR($I289=1,$I289=5,$I289=9),IF($K289="","Long fast month","Long fast month (LEAP)"),""))</f>
        <v/>
      </c>
      <c r="K289" s="0">
        <f>IFERROR(IF(INDEX(lookup!$G:$G,MATCH($C289,lookup!$D:$D,0))="LEAP","LEAP MONTH - counts as month "&amp;$I289&amp;", flagged for review",""),"")</f>
        <v/>
      </c>
    </row>
    <row r="290">
      <c r="A290" s="12">
        <f>A289+1</f>
        <v/>
      </c>
      <c r="B290" s="0">
        <f>TEXT(A290,"ddd")</f>
        <v/>
      </c>
      <c r="C290" s="0">
        <f>IFERROR(INDEX(lunar_ref!$B:$B,MATCH($A290,lunar_ref!$A:$A,0)),"")</f>
        <v/>
      </c>
      <c r="D290" s="0">
        <f>IFERROR(INDEX(lunar_ref!$C:$C,MATCH($A290,lunar_ref!$A:$A,0)),"")</f>
        <v/>
      </c>
      <c r="E290" s="0">
        <f>_xlfn.XLOOKUP($D290,lookup!$A:$A,lookup!$B:$B)</f>
        <v/>
      </c>
      <c r="F290" s="0">
        <f>IF($E290=1,"New",IF($E290=15,"Full",""))</f>
        <v/>
      </c>
      <c r="H290" s="0">
        <f>IF($E290="","",IF(OR($E290=8,$E290=14,$E290=15,$E290=23,$E291=1,$E292=1),"Fast day",""))</f>
        <v/>
      </c>
      <c r="I290" s="0">
        <f>IFERROR(INDEX(lookup!$E:$E,MATCH($C290,lookup!$D:$D,0)),"")</f>
        <v/>
      </c>
      <c r="J290" s="0">
        <f>IF($I290="","",IF(OR($I290=1,$I290=5,$I290=9),IF($K290="","Long fast month","Long fast month (LEAP)"),""))</f>
        <v/>
      </c>
      <c r="K290" s="0">
        <f>IFERROR(IF(INDEX(lookup!$G:$G,MATCH($C290,lookup!$D:$D,0))="LEAP","LEAP MONTH - counts as month "&amp;$I290&amp;", flagged for review",""),"")</f>
        <v/>
      </c>
    </row>
    <row r="291">
      <c r="A291" s="12">
        <f>A290+1</f>
        <v/>
      </c>
      <c r="B291" s="0">
        <f>TEXT(A291,"ddd")</f>
        <v/>
      </c>
      <c r="C291" s="0">
        <f>IFERROR(INDEX(lunar_ref!$B:$B,MATCH($A291,lunar_ref!$A:$A,0)),"")</f>
        <v/>
      </c>
      <c r="D291" s="0">
        <f>IFERROR(INDEX(lunar_ref!$C:$C,MATCH($A291,lunar_ref!$A:$A,0)),"")</f>
        <v/>
      </c>
      <c r="E291" s="0">
        <f>_xlfn.XLOOKUP($D291,lookup!$A:$A,lookup!$B:$B)</f>
        <v/>
      </c>
      <c r="F291" s="0">
        <f>IF($E291=1,"New",IF($E291=15,"Full",""))</f>
        <v/>
      </c>
      <c r="H291" s="0">
        <f>IF($E291="","",IF(OR($E291=8,$E291=14,$E291=15,$E291=23,$E292=1,$E293=1),"Fast day",""))</f>
        <v/>
      </c>
      <c r="I291" s="0">
        <f>IFERROR(INDEX(lookup!$E:$E,MATCH($C291,lookup!$D:$D,0)),"")</f>
        <v/>
      </c>
      <c r="J291" s="0">
        <f>IF($I291="","",IF(OR($I291=1,$I291=5,$I291=9),IF($K291="","Long fast month","Long fast month (LEAP)"),""))</f>
        <v/>
      </c>
      <c r="K291" s="0">
        <f>IFERROR(IF(INDEX(lookup!$G:$G,MATCH($C291,lookup!$D:$D,0))="LEAP","LEAP MONTH - counts as month "&amp;$I291&amp;", flagged for review",""),"")</f>
        <v/>
      </c>
    </row>
    <row r="292">
      <c r="A292" s="12">
        <f>A291+1</f>
        <v/>
      </c>
      <c r="B292" s="0">
        <f>TEXT(A292,"ddd")</f>
        <v/>
      </c>
      <c r="C292" s="0">
        <f>IFERROR(INDEX(lunar_ref!$B:$B,MATCH($A292,lunar_ref!$A:$A,0)),"")</f>
        <v/>
      </c>
      <c r="D292" s="0">
        <f>IFERROR(INDEX(lunar_ref!$C:$C,MATCH($A292,lunar_ref!$A:$A,0)),"")</f>
        <v/>
      </c>
      <c r="E292" s="0">
        <f>_xlfn.XLOOKUP($D292,lookup!$A:$A,lookup!$B:$B)</f>
        <v/>
      </c>
      <c r="F292" s="0">
        <f>IF($E292=1,"New",IF($E292=15,"Full",""))</f>
        <v/>
      </c>
      <c r="H292" s="0">
        <f>IF($E292="","",IF(OR($E292=8,$E292=14,$E292=15,$E292=23,$E293=1,$E294=1),"Fast day",""))</f>
        <v/>
      </c>
      <c r="I292" s="0">
        <f>IFERROR(INDEX(lookup!$E:$E,MATCH($C292,lookup!$D:$D,0)),"")</f>
        <v/>
      </c>
      <c r="J292" s="0">
        <f>IF($I292="","",IF(OR($I292=1,$I292=5,$I292=9),IF($K292="","Long fast month","Long fast month (LEAP)"),""))</f>
        <v/>
      </c>
      <c r="K292" s="0">
        <f>IFERROR(IF(INDEX(lookup!$G:$G,MATCH($C292,lookup!$D:$D,0))="LEAP","LEAP MONTH - counts as month "&amp;$I292&amp;", flagged for review",""),"")</f>
        <v/>
      </c>
    </row>
    <row r="293">
      <c r="A293" s="12">
        <f>A292+1</f>
        <v/>
      </c>
      <c r="B293" s="0">
        <f>TEXT(A293,"ddd")</f>
        <v/>
      </c>
      <c r="C293" s="0">
        <f>IFERROR(INDEX(lunar_ref!$B:$B,MATCH($A293,lunar_ref!$A:$A,0)),"")</f>
        <v/>
      </c>
      <c r="D293" s="0">
        <f>IFERROR(INDEX(lunar_ref!$C:$C,MATCH($A293,lunar_ref!$A:$A,0)),"")</f>
        <v/>
      </c>
      <c r="E293" s="0">
        <f>_xlfn.XLOOKUP($D293,lookup!$A:$A,lookup!$B:$B)</f>
        <v/>
      </c>
      <c r="F293" s="0">
        <f>IF($E293=1,"New",IF($E293=15,"Full",""))</f>
        <v/>
      </c>
      <c r="H293" s="0">
        <f>IF($E293="","",IF(OR($E293=8,$E293=14,$E293=15,$E293=23,$E294=1,$E295=1),"Fast day",""))</f>
        <v/>
      </c>
      <c r="I293" s="0">
        <f>IFERROR(INDEX(lookup!$E:$E,MATCH($C293,lookup!$D:$D,0)),"")</f>
        <v/>
      </c>
      <c r="J293" s="0">
        <f>IF($I293="","",IF(OR($I293=1,$I293=5,$I293=9),IF($K293="","Long fast month","Long fast month (LEAP)"),""))</f>
        <v/>
      </c>
      <c r="K293" s="0">
        <f>IFERROR(IF(INDEX(lookup!$G:$G,MATCH($C293,lookup!$D:$D,0))="LEAP","LEAP MONTH - counts as month "&amp;$I293&amp;", flagged for review",""),"")</f>
        <v/>
      </c>
    </row>
    <row r="294">
      <c r="A294" s="12">
        <f>A293+1</f>
        <v/>
      </c>
      <c r="B294" s="0">
        <f>TEXT(A294,"ddd")</f>
        <v/>
      </c>
      <c r="C294" s="0">
        <f>IFERROR(INDEX(lunar_ref!$B:$B,MATCH($A294,lunar_ref!$A:$A,0)),"")</f>
        <v/>
      </c>
      <c r="D294" s="0">
        <f>IFERROR(INDEX(lunar_ref!$C:$C,MATCH($A294,lunar_ref!$A:$A,0)),"")</f>
        <v/>
      </c>
      <c r="E294" s="0">
        <f>_xlfn.XLOOKUP($D294,lookup!$A:$A,lookup!$B:$B)</f>
        <v/>
      </c>
      <c r="F294" s="0">
        <f>IF($E294=1,"New",IF($E294=15,"Full",""))</f>
        <v/>
      </c>
      <c r="H294" s="0">
        <f>IF($E294="","",IF(OR($E294=8,$E294=14,$E294=15,$E294=23,$E295=1,$E296=1),"Fast day",""))</f>
        <v/>
      </c>
      <c r="I294" s="0">
        <f>IFERROR(INDEX(lookup!$E:$E,MATCH($C294,lookup!$D:$D,0)),"")</f>
        <v/>
      </c>
      <c r="J294" s="0">
        <f>IF($I294="","",IF(OR($I294=1,$I294=5,$I294=9),IF($K294="","Long fast month","Long fast month (LEAP)"),""))</f>
        <v/>
      </c>
      <c r="K294" s="0">
        <f>IFERROR(IF(INDEX(lookup!$G:$G,MATCH($C294,lookup!$D:$D,0))="LEAP","LEAP MONTH - counts as month "&amp;$I294&amp;", flagged for review",""),"")</f>
        <v/>
      </c>
    </row>
    <row r="295">
      <c r="A295" s="12">
        <f>A294+1</f>
        <v/>
      </c>
      <c r="B295" s="0">
        <f>TEXT(A295,"ddd")</f>
        <v/>
      </c>
      <c r="C295" s="0">
        <f>IFERROR(INDEX(lunar_ref!$B:$B,MATCH($A295,lunar_ref!$A:$A,0)),"")</f>
        <v/>
      </c>
      <c r="D295" s="0">
        <f>IFERROR(INDEX(lunar_ref!$C:$C,MATCH($A295,lunar_ref!$A:$A,0)),"")</f>
        <v/>
      </c>
      <c r="E295" s="0">
        <f>_xlfn.XLOOKUP($D295,lookup!$A:$A,lookup!$B:$B)</f>
        <v/>
      </c>
      <c r="F295" s="0">
        <f>IF($E295=1,"New",IF($E295=15,"Full",""))</f>
        <v/>
      </c>
      <c r="H295" s="0">
        <f>IF($E295="","",IF(OR($E295=8,$E295=14,$E295=15,$E295=23,$E296=1,$E297=1),"Fast day",""))</f>
        <v/>
      </c>
      <c r="I295" s="0">
        <f>IFERROR(INDEX(lookup!$E:$E,MATCH($C295,lookup!$D:$D,0)),"")</f>
        <v/>
      </c>
      <c r="J295" s="0">
        <f>IF($I295="","",IF(OR($I295=1,$I295=5,$I295=9),IF($K295="","Long fast month","Long fast month (LEAP)"),""))</f>
        <v/>
      </c>
      <c r="K295" s="0">
        <f>IFERROR(IF(INDEX(lookup!$G:$G,MATCH($C295,lookup!$D:$D,0))="LEAP","LEAP MONTH - counts as month "&amp;$I295&amp;", flagged for review",""),"")</f>
        <v/>
      </c>
    </row>
    <row r="296">
      <c r="A296" s="12">
        <f>A295+1</f>
        <v/>
      </c>
      <c r="B296" s="0">
        <f>TEXT(A296,"ddd")</f>
        <v/>
      </c>
      <c r="C296" s="0">
        <f>IFERROR(INDEX(lunar_ref!$B:$B,MATCH($A296,lunar_ref!$A:$A,0)),"")</f>
        <v/>
      </c>
      <c r="D296" s="0">
        <f>IFERROR(INDEX(lunar_ref!$C:$C,MATCH($A296,lunar_ref!$A:$A,0)),"")</f>
        <v/>
      </c>
      <c r="E296" s="0">
        <f>_xlfn.XLOOKUP($D296,lookup!$A:$A,lookup!$B:$B)</f>
        <v/>
      </c>
      <c r="F296" s="0">
        <f>IF($E296=1,"New",IF($E296=15,"Full",""))</f>
        <v/>
      </c>
      <c r="H296" s="0">
        <f>IF($E296="","",IF(OR($E296=8,$E296=14,$E296=15,$E296=23,$E297=1,$E298=1),"Fast day",""))</f>
        <v/>
      </c>
      <c r="I296" s="0">
        <f>IFERROR(INDEX(lookup!$E:$E,MATCH($C296,lookup!$D:$D,0)),"")</f>
        <v/>
      </c>
      <c r="J296" s="0">
        <f>IF($I296="","",IF(OR($I296=1,$I296=5,$I296=9),IF($K296="","Long fast month","Long fast month (LEAP)"),""))</f>
        <v/>
      </c>
      <c r="K296" s="0">
        <f>IFERROR(IF(INDEX(lookup!$G:$G,MATCH($C296,lookup!$D:$D,0))="LEAP","LEAP MONTH - counts as month "&amp;$I296&amp;", flagged for review",""),"")</f>
        <v/>
      </c>
    </row>
    <row r="297">
      <c r="A297" s="12">
        <f>A296+1</f>
        <v/>
      </c>
      <c r="B297" s="0">
        <f>TEXT(A297,"ddd")</f>
        <v/>
      </c>
      <c r="C297" s="0">
        <f>IFERROR(INDEX(lunar_ref!$B:$B,MATCH($A297,lunar_ref!$A:$A,0)),"")</f>
        <v/>
      </c>
      <c r="D297" s="0">
        <f>IFERROR(INDEX(lunar_ref!$C:$C,MATCH($A297,lunar_ref!$A:$A,0)),"")</f>
        <v/>
      </c>
      <c r="E297" s="0">
        <f>_xlfn.XLOOKUP($D297,lookup!$A:$A,lookup!$B:$B)</f>
        <v/>
      </c>
      <c r="F297" s="0">
        <f>IF($E297=1,"New",IF($E297=15,"Full",""))</f>
        <v/>
      </c>
      <c r="H297" s="0">
        <f>IF($E297="","",IF(OR($E297=8,$E297=14,$E297=15,$E297=23,$E298=1,$E299=1),"Fast day",""))</f>
        <v/>
      </c>
      <c r="I297" s="0">
        <f>IFERROR(INDEX(lookup!$E:$E,MATCH($C297,lookup!$D:$D,0)),"")</f>
        <v/>
      </c>
      <c r="J297" s="0">
        <f>IF($I297="","",IF(OR($I297=1,$I297=5,$I297=9),IF($K297="","Long fast month","Long fast month (LEAP)"),""))</f>
        <v/>
      </c>
      <c r="K297" s="0">
        <f>IFERROR(IF(INDEX(lookup!$G:$G,MATCH($C297,lookup!$D:$D,0))="LEAP","LEAP MONTH - counts as month "&amp;$I297&amp;", flagged for review",""),"")</f>
        <v/>
      </c>
    </row>
    <row r="298">
      <c r="A298" s="12">
        <f>A297+1</f>
        <v/>
      </c>
      <c r="B298" s="0">
        <f>TEXT(A298,"ddd")</f>
        <v/>
      </c>
      <c r="C298" s="0">
        <f>IFERROR(INDEX(lunar_ref!$B:$B,MATCH($A298,lunar_ref!$A:$A,0)),"")</f>
        <v/>
      </c>
      <c r="D298" s="0">
        <f>IFERROR(INDEX(lunar_ref!$C:$C,MATCH($A298,lunar_ref!$A:$A,0)),"")</f>
        <v/>
      </c>
      <c r="E298" s="0">
        <f>_xlfn.XLOOKUP($D298,lookup!$A:$A,lookup!$B:$B)</f>
        <v/>
      </c>
      <c r="F298" s="0">
        <f>IF($E298=1,"New",IF($E298=15,"Full",""))</f>
        <v/>
      </c>
      <c r="H298" s="0">
        <f>IF($E298="","",IF(OR($E298=8,$E298=14,$E298=15,$E298=23,$E299=1,$E300=1),"Fast day",""))</f>
        <v/>
      </c>
      <c r="I298" s="0">
        <f>IFERROR(INDEX(lookup!$E:$E,MATCH($C298,lookup!$D:$D,0)),"")</f>
        <v/>
      </c>
      <c r="J298" s="0">
        <f>IF($I298="","",IF(OR($I298=1,$I298=5,$I298=9),IF($K298="","Long fast month","Long fast month (LEAP)"),""))</f>
        <v/>
      </c>
      <c r="K298" s="0">
        <f>IFERROR(IF(INDEX(lookup!$G:$G,MATCH($C298,lookup!$D:$D,0))="LEAP","LEAP MONTH - counts as month "&amp;$I298&amp;", flagged for review",""),"")</f>
        <v/>
      </c>
    </row>
    <row r="299">
      <c r="A299" s="12">
        <f>A298+1</f>
        <v/>
      </c>
      <c r="B299" s="0">
        <f>TEXT(A299,"ddd")</f>
        <v/>
      </c>
      <c r="C299" s="0">
        <f>IFERROR(INDEX(lunar_ref!$B:$B,MATCH($A299,lunar_ref!$A:$A,0)),"")</f>
        <v/>
      </c>
      <c r="D299" s="0">
        <f>IFERROR(INDEX(lunar_ref!$C:$C,MATCH($A299,lunar_ref!$A:$A,0)),"")</f>
        <v/>
      </c>
      <c r="E299" s="0">
        <f>_xlfn.XLOOKUP($D299,lookup!$A:$A,lookup!$B:$B)</f>
        <v/>
      </c>
      <c r="F299" s="0">
        <f>IF($E299=1,"New",IF($E299=15,"Full",""))</f>
        <v/>
      </c>
      <c r="H299" s="0">
        <f>IF($E299="","",IF(OR($E299=8,$E299=14,$E299=15,$E299=23,$E300=1,$E301=1),"Fast day",""))</f>
        <v/>
      </c>
      <c r="I299" s="0">
        <f>IFERROR(INDEX(lookup!$E:$E,MATCH($C299,lookup!$D:$D,0)),"")</f>
        <v/>
      </c>
      <c r="J299" s="0">
        <f>IF($I299="","",IF(OR($I299=1,$I299=5,$I299=9),IF($K299="","Long fast month","Long fast month (LEAP)"),""))</f>
        <v/>
      </c>
      <c r="K299" s="0">
        <f>IFERROR(IF(INDEX(lookup!$G:$G,MATCH($C299,lookup!$D:$D,0))="LEAP","LEAP MONTH - counts as month "&amp;$I299&amp;", flagged for review",""),"")</f>
        <v/>
      </c>
    </row>
    <row r="300">
      <c r="A300" s="12">
        <f>A299+1</f>
        <v/>
      </c>
      <c r="B300" s="0">
        <f>TEXT(A300,"ddd")</f>
        <v/>
      </c>
      <c r="C300" s="0">
        <f>IFERROR(INDEX(lunar_ref!$B:$B,MATCH($A300,lunar_ref!$A:$A,0)),"")</f>
        <v/>
      </c>
      <c r="D300" s="0">
        <f>IFERROR(INDEX(lunar_ref!$C:$C,MATCH($A300,lunar_ref!$A:$A,0)),"")</f>
        <v/>
      </c>
      <c r="E300" s="0">
        <f>_xlfn.XLOOKUP($D300,lookup!$A:$A,lookup!$B:$B)</f>
        <v/>
      </c>
      <c r="F300" s="0">
        <f>IF($E300=1,"New",IF($E300=15,"Full",""))</f>
        <v/>
      </c>
      <c r="H300" s="0">
        <f>IF($E300="","",IF(OR($E300=8,$E300=14,$E300=15,$E300=23,$E301=1,$E302=1),"Fast day",""))</f>
        <v/>
      </c>
      <c r="I300" s="0">
        <f>IFERROR(INDEX(lookup!$E:$E,MATCH($C300,lookup!$D:$D,0)),"")</f>
        <v/>
      </c>
      <c r="J300" s="0">
        <f>IF($I300="","",IF(OR($I300=1,$I300=5,$I300=9),IF($K300="","Long fast month","Long fast month (LEAP)"),""))</f>
        <v/>
      </c>
      <c r="K300" s="0">
        <f>IFERROR(IF(INDEX(lookup!$G:$G,MATCH($C300,lookup!$D:$D,0))="LEAP","LEAP MONTH - counts as month "&amp;$I300&amp;", flagged for review",""),"")</f>
        <v/>
      </c>
    </row>
    <row r="301">
      <c r="A301" s="12">
        <f>A300+1</f>
        <v/>
      </c>
      <c r="B301" s="0">
        <f>TEXT(A301,"ddd")</f>
        <v/>
      </c>
      <c r="C301" s="0">
        <f>IFERROR(INDEX(lunar_ref!$B:$B,MATCH($A301,lunar_ref!$A:$A,0)),"")</f>
        <v/>
      </c>
      <c r="D301" s="0">
        <f>IFERROR(INDEX(lunar_ref!$C:$C,MATCH($A301,lunar_ref!$A:$A,0)),"")</f>
        <v/>
      </c>
      <c r="E301" s="0">
        <f>_xlfn.XLOOKUP($D301,lookup!$A:$A,lookup!$B:$B)</f>
        <v/>
      </c>
      <c r="F301" s="0">
        <f>IF($E301=1,"New",IF($E301=15,"Full",""))</f>
        <v/>
      </c>
      <c r="H301" s="0">
        <f>IF($E301="","",IF(OR($E301=8,$E301=14,$E301=15,$E301=23,$E302=1,$E303=1),"Fast day",""))</f>
        <v/>
      </c>
      <c r="I301" s="0">
        <f>IFERROR(INDEX(lookup!$E:$E,MATCH($C301,lookup!$D:$D,0)),"")</f>
        <v/>
      </c>
      <c r="J301" s="0">
        <f>IF($I301="","",IF(OR($I301=1,$I301=5,$I301=9),IF($K301="","Long fast month","Long fast month (LEAP)"),""))</f>
        <v/>
      </c>
      <c r="K301" s="0">
        <f>IFERROR(IF(INDEX(lookup!$G:$G,MATCH($C301,lookup!$D:$D,0))="LEAP","LEAP MONTH - counts as month "&amp;$I301&amp;", flagged for review",""),"")</f>
        <v/>
      </c>
    </row>
    <row r="302">
      <c r="A302" s="12">
        <f>A301+1</f>
        <v/>
      </c>
      <c r="B302" s="0">
        <f>TEXT(A302,"ddd")</f>
        <v/>
      </c>
      <c r="C302" s="0">
        <f>IFERROR(INDEX(lunar_ref!$B:$B,MATCH($A302,lunar_ref!$A:$A,0)),"")</f>
        <v/>
      </c>
      <c r="D302" s="0">
        <f>IFERROR(INDEX(lunar_ref!$C:$C,MATCH($A302,lunar_ref!$A:$A,0)),"")</f>
        <v/>
      </c>
      <c r="E302" s="0">
        <f>_xlfn.XLOOKUP($D302,lookup!$A:$A,lookup!$B:$B)</f>
        <v/>
      </c>
      <c r="F302" s="0">
        <f>IF($E302=1,"New",IF($E302=15,"Full",""))</f>
        <v/>
      </c>
      <c r="H302" s="0">
        <f>IF($E302="","",IF(OR($E302=8,$E302=14,$E302=15,$E302=23,$E303=1,$E304=1),"Fast day",""))</f>
        <v/>
      </c>
      <c r="I302" s="0">
        <f>IFERROR(INDEX(lookup!$E:$E,MATCH($C302,lookup!$D:$D,0)),"")</f>
        <v/>
      </c>
      <c r="J302" s="0">
        <f>IF($I302="","",IF(OR($I302=1,$I302=5,$I302=9),IF($K302="","Long fast month","Long fast month (LEAP)"),""))</f>
        <v/>
      </c>
      <c r="K302" s="0">
        <f>IFERROR(IF(INDEX(lookup!$G:$G,MATCH($C302,lookup!$D:$D,0))="LEAP","LEAP MONTH - counts as month "&amp;$I302&amp;", flagged for review",""),"")</f>
        <v/>
      </c>
    </row>
    <row r="303">
      <c r="A303" s="12">
        <f>A302+1</f>
        <v/>
      </c>
      <c r="B303" s="0">
        <f>TEXT(A303,"ddd")</f>
        <v/>
      </c>
      <c r="C303" s="0">
        <f>IFERROR(INDEX(lunar_ref!$B:$B,MATCH($A303,lunar_ref!$A:$A,0)),"")</f>
        <v/>
      </c>
      <c r="D303" s="0">
        <f>IFERROR(INDEX(lunar_ref!$C:$C,MATCH($A303,lunar_ref!$A:$A,0)),"")</f>
        <v/>
      </c>
      <c r="E303" s="0">
        <f>_xlfn.XLOOKUP($D303,lookup!$A:$A,lookup!$B:$B)</f>
        <v/>
      </c>
      <c r="F303" s="0">
        <f>IF($E303=1,"New",IF($E303=15,"Full",""))</f>
        <v/>
      </c>
      <c r="H303" s="0">
        <f>IF($E303="","",IF(OR($E303=8,$E303=14,$E303=15,$E303=23,$E304=1,$E305=1),"Fast day",""))</f>
        <v/>
      </c>
      <c r="I303" s="0">
        <f>IFERROR(INDEX(lookup!$E:$E,MATCH($C303,lookup!$D:$D,0)),"")</f>
        <v/>
      </c>
      <c r="J303" s="0">
        <f>IF($I303="","",IF(OR($I303=1,$I303=5,$I303=9),IF($K303="","Long fast month","Long fast month (LEAP)"),""))</f>
        <v/>
      </c>
      <c r="K303" s="0">
        <f>IFERROR(IF(INDEX(lookup!$G:$G,MATCH($C303,lookup!$D:$D,0))="LEAP","LEAP MONTH - counts as month "&amp;$I303&amp;", flagged for review",""),"")</f>
        <v/>
      </c>
    </row>
    <row r="304">
      <c r="A304" s="12">
        <f>A303+1</f>
        <v/>
      </c>
      <c r="B304" s="0">
        <f>TEXT(A304,"ddd")</f>
        <v/>
      </c>
      <c r="C304" s="0">
        <f>IFERROR(INDEX(lunar_ref!$B:$B,MATCH($A304,lunar_ref!$A:$A,0)),"")</f>
        <v/>
      </c>
      <c r="D304" s="0">
        <f>IFERROR(INDEX(lunar_ref!$C:$C,MATCH($A304,lunar_ref!$A:$A,0)),"")</f>
        <v/>
      </c>
      <c r="E304" s="0">
        <f>_xlfn.XLOOKUP($D304,lookup!$A:$A,lookup!$B:$B)</f>
        <v/>
      </c>
      <c r="F304" s="0">
        <f>IF($E304=1,"New",IF($E304=15,"Full",""))</f>
        <v/>
      </c>
      <c r="H304" s="0">
        <f>IF($E304="","",IF(OR($E304=8,$E304=14,$E304=15,$E304=23,$E305=1,$E306=1),"Fast day",""))</f>
        <v/>
      </c>
      <c r="I304" s="0">
        <f>IFERROR(INDEX(lookup!$E:$E,MATCH($C304,lookup!$D:$D,0)),"")</f>
        <v/>
      </c>
      <c r="J304" s="0">
        <f>IF($I304="","",IF(OR($I304=1,$I304=5,$I304=9),IF($K304="","Long fast month","Long fast month (LEAP)"),""))</f>
        <v/>
      </c>
      <c r="K304" s="0">
        <f>IFERROR(IF(INDEX(lookup!$G:$G,MATCH($C304,lookup!$D:$D,0))="LEAP","LEAP MONTH - counts as month "&amp;$I304&amp;", flagged for review",""),"")</f>
        <v/>
      </c>
    </row>
    <row r="305">
      <c r="A305" s="12">
        <f>A304+1</f>
        <v/>
      </c>
      <c r="B305" s="0">
        <f>TEXT(A305,"ddd")</f>
        <v/>
      </c>
      <c r="C305" s="0">
        <f>IFERROR(INDEX(lunar_ref!$B:$B,MATCH($A305,lunar_ref!$A:$A,0)),"")</f>
        <v/>
      </c>
      <c r="D305" s="0">
        <f>IFERROR(INDEX(lunar_ref!$C:$C,MATCH($A305,lunar_ref!$A:$A,0)),"")</f>
        <v/>
      </c>
      <c r="E305" s="0">
        <f>_xlfn.XLOOKUP($D305,lookup!$A:$A,lookup!$B:$B)</f>
        <v/>
      </c>
      <c r="F305" s="0">
        <f>IF($E305=1,"New",IF($E305=15,"Full",""))</f>
        <v/>
      </c>
      <c r="H305" s="0">
        <f>IF($E305="","",IF(OR($E305=8,$E305=14,$E305=15,$E305=23,$E306=1,$E307=1),"Fast day",""))</f>
        <v/>
      </c>
      <c r="I305" s="0">
        <f>IFERROR(INDEX(lookup!$E:$E,MATCH($C305,lookup!$D:$D,0)),"")</f>
        <v/>
      </c>
      <c r="J305" s="0">
        <f>IF($I305="","",IF(OR($I305=1,$I305=5,$I305=9),IF($K305="","Long fast month","Long fast month (LEAP)"),""))</f>
        <v/>
      </c>
      <c r="K305" s="0">
        <f>IFERROR(IF(INDEX(lookup!$G:$G,MATCH($C305,lookup!$D:$D,0))="LEAP","LEAP MONTH - counts as month "&amp;$I305&amp;", flagged for review",""),"")</f>
        <v/>
      </c>
    </row>
    <row r="306">
      <c r="A306" s="12">
        <f>A305+1</f>
        <v/>
      </c>
      <c r="B306" s="0">
        <f>TEXT(A306,"ddd")</f>
        <v/>
      </c>
      <c r="C306" s="0">
        <f>IFERROR(INDEX(lunar_ref!$B:$B,MATCH($A306,lunar_ref!$A:$A,0)),"")</f>
        <v/>
      </c>
      <c r="D306" s="0">
        <f>IFERROR(INDEX(lunar_ref!$C:$C,MATCH($A306,lunar_ref!$A:$A,0)),"")</f>
        <v/>
      </c>
      <c r="E306" s="0">
        <f>_xlfn.XLOOKUP($D306,lookup!$A:$A,lookup!$B:$B)</f>
        <v/>
      </c>
      <c r="F306" s="0">
        <f>IF($E306=1,"New",IF($E306=15,"Full",""))</f>
        <v/>
      </c>
      <c r="H306" s="0">
        <f>IF($E306="","",IF(OR($E306=8,$E306=14,$E306=15,$E306=23,$E307=1,$E308=1),"Fast day",""))</f>
        <v/>
      </c>
      <c r="I306" s="0">
        <f>IFERROR(INDEX(lookup!$E:$E,MATCH($C306,lookup!$D:$D,0)),"")</f>
        <v/>
      </c>
      <c r="J306" s="0">
        <f>IF($I306="","",IF(OR($I306=1,$I306=5,$I306=9),IF($K306="","Long fast month","Long fast month (LEAP)"),""))</f>
        <v/>
      </c>
      <c r="K306" s="0">
        <f>IFERROR(IF(INDEX(lookup!$G:$G,MATCH($C306,lookup!$D:$D,0))="LEAP","LEAP MONTH - counts as month "&amp;$I306&amp;", flagged for review",""),"")</f>
        <v/>
      </c>
    </row>
    <row r="307">
      <c r="A307" s="12">
        <f>A306+1</f>
        <v/>
      </c>
      <c r="B307" s="0">
        <f>TEXT(A307,"ddd")</f>
        <v/>
      </c>
      <c r="C307" s="0">
        <f>IFERROR(INDEX(lunar_ref!$B:$B,MATCH($A307,lunar_ref!$A:$A,0)),"")</f>
        <v/>
      </c>
      <c r="D307" s="0">
        <f>IFERROR(INDEX(lunar_ref!$C:$C,MATCH($A307,lunar_ref!$A:$A,0)),"")</f>
        <v/>
      </c>
      <c r="E307" s="0">
        <f>_xlfn.XLOOKUP($D307,lookup!$A:$A,lookup!$B:$B)</f>
        <v/>
      </c>
      <c r="F307" s="0">
        <f>IF($E307=1,"New",IF($E307=15,"Full",""))</f>
        <v/>
      </c>
      <c r="H307" s="0">
        <f>IF($E307="","",IF(OR($E307=8,$E307=14,$E307=15,$E307=23,$E308=1,$E309=1),"Fast day",""))</f>
        <v/>
      </c>
      <c r="I307" s="0">
        <f>IFERROR(INDEX(lookup!$E:$E,MATCH($C307,lookup!$D:$D,0)),"")</f>
        <v/>
      </c>
      <c r="J307" s="0">
        <f>IF($I307="","",IF(OR($I307=1,$I307=5,$I307=9),IF($K307="","Long fast month","Long fast month (LEAP)"),""))</f>
        <v/>
      </c>
      <c r="K307" s="0">
        <f>IFERROR(IF(INDEX(lookup!$G:$G,MATCH($C307,lookup!$D:$D,0))="LEAP","LEAP MONTH - counts as month "&amp;$I307&amp;", flagged for review",""),"")</f>
        <v/>
      </c>
    </row>
    <row r="308">
      <c r="A308" s="12">
        <f>A307+1</f>
        <v/>
      </c>
      <c r="B308" s="0">
        <f>TEXT(A308,"ddd")</f>
        <v/>
      </c>
      <c r="C308" s="0">
        <f>IFERROR(INDEX(lunar_ref!$B:$B,MATCH($A308,lunar_ref!$A:$A,0)),"")</f>
        <v/>
      </c>
      <c r="D308" s="0">
        <f>IFERROR(INDEX(lunar_ref!$C:$C,MATCH($A308,lunar_ref!$A:$A,0)),"")</f>
        <v/>
      </c>
      <c r="E308" s="0">
        <f>_xlfn.XLOOKUP($D308,lookup!$A:$A,lookup!$B:$B)</f>
        <v/>
      </c>
      <c r="F308" s="0">
        <f>IF($E308=1,"New",IF($E308=15,"Full",""))</f>
        <v/>
      </c>
      <c r="H308" s="0">
        <f>IF($E308="","",IF(OR($E308=8,$E308=14,$E308=15,$E308=23,$E309=1,$E310=1),"Fast day",""))</f>
        <v/>
      </c>
      <c r="I308" s="0">
        <f>IFERROR(INDEX(lookup!$E:$E,MATCH($C308,lookup!$D:$D,0)),"")</f>
        <v/>
      </c>
      <c r="J308" s="0">
        <f>IF($I308="","",IF(OR($I308=1,$I308=5,$I308=9),IF($K308="","Long fast month","Long fast month (LEAP)"),""))</f>
        <v/>
      </c>
      <c r="K308" s="0">
        <f>IFERROR(IF(INDEX(lookup!$G:$G,MATCH($C308,lookup!$D:$D,0))="LEAP","LEAP MONTH - counts as month "&amp;$I308&amp;", flagged for review",""),"")</f>
        <v/>
      </c>
    </row>
    <row r="309">
      <c r="A309" s="12">
        <f>A308+1</f>
        <v/>
      </c>
      <c r="B309" s="0">
        <f>TEXT(A309,"ddd")</f>
        <v/>
      </c>
      <c r="C309" s="0">
        <f>IFERROR(INDEX(lunar_ref!$B:$B,MATCH($A309,lunar_ref!$A:$A,0)),"")</f>
        <v/>
      </c>
      <c r="D309" s="0">
        <f>IFERROR(INDEX(lunar_ref!$C:$C,MATCH($A309,lunar_ref!$A:$A,0)),"")</f>
        <v/>
      </c>
      <c r="E309" s="0">
        <f>_xlfn.XLOOKUP($D309,lookup!$A:$A,lookup!$B:$B)</f>
        <v/>
      </c>
      <c r="F309" s="0">
        <f>IF($E309=1,"New",IF($E309=15,"Full",""))</f>
        <v/>
      </c>
      <c r="H309" s="0">
        <f>IF($E309="","",IF(OR($E309=8,$E309=14,$E309=15,$E309=23,$E310=1,$E311=1),"Fast day",""))</f>
        <v/>
      </c>
      <c r="I309" s="0">
        <f>IFERROR(INDEX(lookup!$E:$E,MATCH($C309,lookup!$D:$D,0)),"")</f>
        <v/>
      </c>
      <c r="J309" s="0">
        <f>IF($I309="","",IF(OR($I309=1,$I309=5,$I309=9),IF($K309="","Long fast month","Long fast month (LEAP)"),""))</f>
        <v/>
      </c>
      <c r="K309" s="0">
        <f>IFERROR(IF(INDEX(lookup!$G:$G,MATCH($C309,lookup!$D:$D,0))="LEAP","LEAP MONTH - counts as month "&amp;$I309&amp;", flagged for review",""),"")</f>
        <v/>
      </c>
    </row>
    <row r="310">
      <c r="A310" s="12">
        <f>A309+1</f>
        <v/>
      </c>
      <c r="B310" s="0">
        <f>TEXT(A310,"ddd")</f>
        <v/>
      </c>
      <c r="C310" s="0">
        <f>IFERROR(INDEX(lunar_ref!$B:$B,MATCH($A310,lunar_ref!$A:$A,0)),"")</f>
        <v/>
      </c>
      <c r="D310" s="0">
        <f>IFERROR(INDEX(lunar_ref!$C:$C,MATCH($A310,lunar_ref!$A:$A,0)),"")</f>
        <v/>
      </c>
      <c r="E310" s="0">
        <f>_xlfn.XLOOKUP($D310,lookup!$A:$A,lookup!$B:$B)</f>
        <v/>
      </c>
      <c r="F310" s="0">
        <f>IF($E310=1,"New",IF($E310=15,"Full",""))</f>
        <v/>
      </c>
      <c r="H310" s="0">
        <f>IF($E310="","",IF(OR($E310=8,$E310=14,$E310=15,$E310=23,$E311=1,$E312=1),"Fast day",""))</f>
        <v/>
      </c>
      <c r="I310" s="0">
        <f>IFERROR(INDEX(lookup!$E:$E,MATCH($C310,lookup!$D:$D,0)),"")</f>
        <v/>
      </c>
      <c r="J310" s="0">
        <f>IF($I310="","",IF(OR($I310=1,$I310=5,$I310=9),IF($K310="","Long fast month","Long fast month (LEAP)"),""))</f>
        <v/>
      </c>
      <c r="K310" s="0">
        <f>IFERROR(IF(INDEX(lookup!$G:$G,MATCH($C310,lookup!$D:$D,0))="LEAP","LEAP MONTH - counts as month "&amp;$I310&amp;", flagged for review",""),"")</f>
        <v/>
      </c>
    </row>
    <row r="311">
      <c r="A311" s="12">
        <f>A310+1</f>
        <v/>
      </c>
      <c r="B311" s="0">
        <f>TEXT(A311,"ddd")</f>
        <v/>
      </c>
      <c r="C311" s="0">
        <f>IFERROR(INDEX(lunar_ref!$B:$B,MATCH($A311,lunar_ref!$A:$A,0)),"")</f>
        <v/>
      </c>
      <c r="D311" s="0">
        <f>IFERROR(INDEX(lunar_ref!$C:$C,MATCH($A311,lunar_ref!$A:$A,0)),"")</f>
        <v/>
      </c>
      <c r="E311" s="0">
        <f>_xlfn.XLOOKUP($D311,lookup!$A:$A,lookup!$B:$B)</f>
        <v/>
      </c>
      <c r="F311" s="0">
        <f>IF($E311=1,"New",IF($E311=15,"Full",""))</f>
        <v/>
      </c>
      <c r="H311" s="0">
        <f>IF($E311="","",IF(OR($E311=8,$E311=14,$E311=15,$E311=23,$E312=1,$E313=1),"Fast day",""))</f>
        <v/>
      </c>
      <c r="I311" s="0">
        <f>IFERROR(INDEX(lookup!$E:$E,MATCH($C311,lookup!$D:$D,0)),"")</f>
        <v/>
      </c>
      <c r="J311" s="0">
        <f>IF($I311="","",IF(OR($I311=1,$I311=5,$I311=9),IF($K311="","Long fast month","Long fast month (LEAP)"),""))</f>
        <v/>
      </c>
      <c r="K311" s="0">
        <f>IFERROR(IF(INDEX(lookup!$G:$G,MATCH($C311,lookup!$D:$D,0))="LEAP","LEAP MONTH - counts as month "&amp;$I311&amp;", flagged for review",""),"")</f>
        <v/>
      </c>
    </row>
    <row r="312">
      <c r="A312" s="12">
        <f>A311+1</f>
        <v/>
      </c>
      <c r="B312" s="0">
        <f>TEXT(A312,"ddd")</f>
        <v/>
      </c>
      <c r="C312" s="0">
        <f>IFERROR(INDEX(lunar_ref!$B:$B,MATCH($A312,lunar_ref!$A:$A,0)),"")</f>
        <v/>
      </c>
      <c r="D312" s="0">
        <f>IFERROR(INDEX(lunar_ref!$C:$C,MATCH($A312,lunar_ref!$A:$A,0)),"")</f>
        <v/>
      </c>
      <c r="E312" s="0">
        <f>_xlfn.XLOOKUP($D312,lookup!$A:$A,lookup!$B:$B)</f>
        <v/>
      </c>
      <c r="F312" s="0">
        <f>IF($E312=1,"New",IF($E312=15,"Full",""))</f>
        <v/>
      </c>
      <c r="H312" s="0">
        <f>IF($E312="","",IF(OR($E312=8,$E312=14,$E312=15,$E312=23,$E313=1,$E314=1),"Fast day",""))</f>
        <v/>
      </c>
      <c r="I312" s="0">
        <f>IFERROR(INDEX(lookup!$E:$E,MATCH($C312,lookup!$D:$D,0)),"")</f>
        <v/>
      </c>
      <c r="J312" s="0">
        <f>IF($I312="","",IF(OR($I312=1,$I312=5,$I312=9),IF($K312="","Long fast month","Long fast month (LEAP)"),""))</f>
        <v/>
      </c>
      <c r="K312" s="0">
        <f>IFERROR(IF(INDEX(lookup!$G:$G,MATCH($C312,lookup!$D:$D,0))="LEAP","LEAP MONTH - counts as month "&amp;$I312&amp;", flagged for review",""),"")</f>
        <v/>
      </c>
    </row>
    <row r="313">
      <c r="A313" s="12">
        <f>A312+1</f>
        <v/>
      </c>
      <c r="B313" s="0">
        <f>TEXT(A313,"ddd")</f>
        <v/>
      </c>
      <c r="C313" s="0">
        <f>IFERROR(INDEX(lunar_ref!$B:$B,MATCH($A313,lunar_ref!$A:$A,0)),"")</f>
        <v/>
      </c>
      <c r="D313" s="0">
        <f>IFERROR(INDEX(lunar_ref!$C:$C,MATCH($A313,lunar_ref!$A:$A,0)),"")</f>
        <v/>
      </c>
      <c r="E313" s="0">
        <f>_xlfn.XLOOKUP($D313,lookup!$A:$A,lookup!$B:$B)</f>
        <v/>
      </c>
      <c r="F313" s="0">
        <f>IF($E313=1,"New",IF($E313=15,"Full",""))</f>
        <v/>
      </c>
      <c r="H313" s="0">
        <f>IF($E313="","",IF(OR($E313=8,$E313=14,$E313=15,$E313=23,$E314=1,$E315=1),"Fast day",""))</f>
        <v/>
      </c>
      <c r="I313" s="0">
        <f>IFERROR(INDEX(lookup!$E:$E,MATCH($C313,lookup!$D:$D,0)),"")</f>
        <v/>
      </c>
      <c r="J313" s="0">
        <f>IF($I313="","",IF(OR($I313=1,$I313=5,$I313=9),IF($K313="","Long fast month","Long fast month (LEAP)"),""))</f>
        <v/>
      </c>
      <c r="K313" s="0">
        <f>IFERROR(IF(INDEX(lookup!$G:$G,MATCH($C313,lookup!$D:$D,0))="LEAP","LEAP MONTH - counts as month "&amp;$I313&amp;", flagged for review",""),"")</f>
        <v/>
      </c>
    </row>
    <row r="314">
      <c r="A314" s="12">
        <f>A313+1</f>
        <v/>
      </c>
      <c r="B314" s="0">
        <f>TEXT(A314,"ddd")</f>
        <v/>
      </c>
      <c r="C314" s="0">
        <f>IFERROR(INDEX(lunar_ref!$B:$B,MATCH($A314,lunar_ref!$A:$A,0)),"")</f>
        <v/>
      </c>
      <c r="D314" s="0">
        <f>IFERROR(INDEX(lunar_ref!$C:$C,MATCH($A314,lunar_ref!$A:$A,0)),"")</f>
        <v/>
      </c>
      <c r="E314" s="0">
        <f>_xlfn.XLOOKUP($D314,lookup!$A:$A,lookup!$B:$B)</f>
        <v/>
      </c>
      <c r="F314" s="0">
        <f>IF($E314=1,"New",IF($E314=15,"Full",""))</f>
        <v/>
      </c>
      <c r="H314" s="0">
        <f>IF($E314="","",IF(OR($E314=8,$E314=14,$E314=15,$E314=23,$E315=1,$E316=1),"Fast day",""))</f>
        <v/>
      </c>
      <c r="I314" s="0">
        <f>IFERROR(INDEX(lookup!$E:$E,MATCH($C314,lookup!$D:$D,0)),"")</f>
        <v/>
      </c>
      <c r="J314" s="0">
        <f>IF($I314="","",IF(OR($I314=1,$I314=5,$I314=9),IF($K314="","Long fast month","Long fast month (LEAP)"),""))</f>
        <v/>
      </c>
      <c r="K314" s="0">
        <f>IFERROR(IF(INDEX(lookup!$G:$G,MATCH($C314,lookup!$D:$D,0))="LEAP","LEAP MONTH - counts as month "&amp;$I314&amp;", flagged for review",""),"")</f>
        <v/>
      </c>
    </row>
    <row r="315">
      <c r="A315" s="12">
        <f>A314+1</f>
        <v/>
      </c>
      <c r="B315" s="0">
        <f>TEXT(A315,"ddd")</f>
        <v/>
      </c>
      <c r="C315" s="0">
        <f>IFERROR(INDEX(lunar_ref!$B:$B,MATCH($A315,lunar_ref!$A:$A,0)),"")</f>
        <v/>
      </c>
      <c r="D315" s="0">
        <f>IFERROR(INDEX(lunar_ref!$C:$C,MATCH($A315,lunar_ref!$A:$A,0)),"")</f>
        <v/>
      </c>
      <c r="E315" s="0">
        <f>_xlfn.XLOOKUP($D315,lookup!$A:$A,lookup!$B:$B)</f>
        <v/>
      </c>
      <c r="F315" s="0">
        <f>IF($E315=1,"New",IF($E315=15,"Full",""))</f>
        <v/>
      </c>
      <c r="H315" s="0">
        <f>IF($E315="","",IF(OR($E315=8,$E315=14,$E315=15,$E315=23,$E316=1,$E317=1),"Fast day",""))</f>
        <v/>
      </c>
      <c r="I315" s="0">
        <f>IFERROR(INDEX(lookup!$E:$E,MATCH($C315,lookup!$D:$D,0)),"")</f>
        <v/>
      </c>
      <c r="J315" s="0">
        <f>IF($I315="","",IF(OR($I315=1,$I315=5,$I315=9),IF($K315="","Long fast month","Long fast month (LEAP)"),""))</f>
        <v/>
      </c>
      <c r="K315" s="0">
        <f>IFERROR(IF(INDEX(lookup!$G:$G,MATCH($C315,lookup!$D:$D,0))="LEAP","LEAP MONTH - counts as month "&amp;$I315&amp;", flagged for review",""),"")</f>
        <v/>
      </c>
    </row>
    <row r="316">
      <c r="A316" s="12">
        <f>A315+1</f>
        <v/>
      </c>
      <c r="B316" s="0">
        <f>TEXT(A316,"ddd")</f>
        <v/>
      </c>
      <c r="C316" s="0">
        <f>IFERROR(INDEX(lunar_ref!$B:$B,MATCH($A316,lunar_ref!$A:$A,0)),"")</f>
        <v/>
      </c>
      <c r="D316" s="0">
        <f>IFERROR(INDEX(lunar_ref!$C:$C,MATCH($A316,lunar_ref!$A:$A,0)),"")</f>
        <v/>
      </c>
      <c r="E316" s="0">
        <f>_xlfn.XLOOKUP($D316,lookup!$A:$A,lookup!$B:$B)</f>
        <v/>
      </c>
      <c r="F316" s="0">
        <f>IF($E316=1,"New",IF($E316=15,"Full",""))</f>
        <v/>
      </c>
      <c r="H316" s="0">
        <f>IF($E316="","",IF(OR($E316=8,$E316=14,$E316=15,$E316=23,$E317=1,$E318=1),"Fast day",""))</f>
        <v/>
      </c>
      <c r="I316" s="0">
        <f>IFERROR(INDEX(lookup!$E:$E,MATCH($C316,lookup!$D:$D,0)),"")</f>
        <v/>
      </c>
      <c r="J316" s="0">
        <f>IF($I316="","",IF(OR($I316=1,$I316=5,$I316=9),IF($K316="","Long fast month","Long fast month (LEAP)"),""))</f>
        <v/>
      </c>
      <c r="K316" s="0">
        <f>IFERROR(IF(INDEX(lookup!$G:$G,MATCH($C316,lookup!$D:$D,0))="LEAP","LEAP MONTH - counts as month "&amp;$I316&amp;", flagged for review",""),"")</f>
        <v/>
      </c>
    </row>
    <row r="317">
      <c r="A317" s="12">
        <f>A316+1</f>
        <v/>
      </c>
      <c r="B317" s="0">
        <f>TEXT(A317,"ddd")</f>
        <v/>
      </c>
      <c r="C317" s="0">
        <f>IFERROR(INDEX(lunar_ref!$B:$B,MATCH($A317,lunar_ref!$A:$A,0)),"")</f>
        <v/>
      </c>
      <c r="D317" s="0">
        <f>IFERROR(INDEX(lunar_ref!$C:$C,MATCH($A317,lunar_ref!$A:$A,0)),"")</f>
        <v/>
      </c>
      <c r="E317" s="0">
        <f>_xlfn.XLOOKUP($D317,lookup!$A:$A,lookup!$B:$B)</f>
        <v/>
      </c>
      <c r="F317" s="0">
        <f>IF($E317=1,"New",IF($E317=15,"Full",""))</f>
        <v/>
      </c>
      <c r="H317" s="0">
        <f>IF($E317="","",IF(OR($E317=8,$E317=14,$E317=15,$E317=23,$E318=1,$E319=1),"Fast day",""))</f>
        <v/>
      </c>
      <c r="I317" s="0">
        <f>IFERROR(INDEX(lookup!$E:$E,MATCH($C317,lookup!$D:$D,0)),"")</f>
        <v/>
      </c>
      <c r="J317" s="0">
        <f>IF($I317="","",IF(OR($I317=1,$I317=5,$I317=9),IF($K317="","Long fast month","Long fast month (LEAP)"),""))</f>
        <v/>
      </c>
      <c r="K317" s="0">
        <f>IFERROR(IF(INDEX(lookup!$G:$G,MATCH($C317,lookup!$D:$D,0))="LEAP","LEAP MONTH - counts as month "&amp;$I317&amp;", flagged for review",""),"")</f>
        <v/>
      </c>
    </row>
    <row r="318">
      <c r="A318" s="12">
        <f>A317+1</f>
        <v/>
      </c>
      <c r="B318" s="0">
        <f>TEXT(A318,"ddd")</f>
        <v/>
      </c>
      <c r="C318" s="0">
        <f>IFERROR(INDEX(lunar_ref!$B:$B,MATCH($A318,lunar_ref!$A:$A,0)),"")</f>
        <v/>
      </c>
      <c r="D318" s="0">
        <f>IFERROR(INDEX(lunar_ref!$C:$C,MATCH($A318,lunar_ref!$A:$A,0)),"")</f>
        <v/>
      </c>
      <c r="E318" s="0">
        <f>_xlfn.XLOOKUP($D318,lookup!$A:$A,lookup!$B:$B)</f>
        <v/>
      </c>
      <c r="F318" s="0">
        <f>IF($E318=1,"New",IF($E318=15,"Full",""))</f>
        <v/>
      </c>
      <c r="H318" s="0">
        <f>IF($E318="","",IF(OR($E318=8,$E318=14,$E318=15,$E318=23,$E319=1,$E320=1),"Fast day",""))</f>
        <v/>
      </c>
      <c r="I318" s="0">
        <f>IFERROR(INDEX(lookup!$E:$E,MATCH($C318,lookup!$D:$D,0)),"")</f>
        <v/>
      </c>
      <c r="J318" s="0">
        <f>IF($I318="","",IF(OR($I318=1,$I318=5,$I318=9),IF($K318="","Long fast month","Long fast month (LEAP)"),""))</f>
        <v/>
      </c>
      <c r="K318" s="0">
        <f>IFERROR(IF(INDEX(lookup!$G:$G,MATCH($C318,lookup!$D:$D,0))="LEAP","LEAP MONTH - counts as month "&amp;$I318&amp;", flagged for review",""),"")</f>
        <v/>
      </c>
    </row>
    <row r="319">
      <c r="A319" s="12">
        <f>A318+1</f>
        <v/>
      </c>
      <c r="B319" s="0">
        <f>TEXT(A319,"ddd")</f>
        <v/>
      </c>
      <c r="C319" s="0">
        <f>IFERROR(INDEX(lunar_ref!$B:$B,MATCH($A319,lunar_ref!$A:$A,0)),"")</f>
        <v/>
      </c>
      <c r="D319" s="0">
        <f>IFERROR(INDEX(lunar_ref!$C:$C,MATCH($A319,lunar_ref!$A:$A,0)),"")</f>
        <v/>
      </c>
      <c r="E319" s="0">
        <f>_xlfn.XLOOKUP($D319,lookup!$A:$A,lookup!$B:$B)</f>
        <v/>
      </c>
      <c r="F319" s="0">
        <f>IF($E319=1,"New",IF($E319=15,"Full",""))</f>
        <v/>
      </c>
      <c r="H319" s="0">
        <f>IF($E319="","",IF(OR($E319=8,$E319=14,$E319=15,$E319=23,$E320=1,$E321=1),"Fast day",""))</f>
        <v/>
      </c>
      <c r="I319" s="0">
        <f>IFERROR(INDEX(lookup!$E:$E,MATCH($C319,lookup!$D:$D,0)),"")</f>
        <v/>
      </c>
      <c r="J319" s="0">
        <f>IF($I319="","",IF(OR($I319=1,$I319=5,$I319=9),IF($K319="","Long fast month","Long fast month (LEAP)"),""))</f>
        <v/>
      </c>
      <c r="K319" s="0">
        <f>IFERROR(IF(INDEX(lookup!$G:$G,MATCH($C319,lookup!$D:$D,0))="LEAP","LEAP MONTH - counts as month "&amp;$I319&amp;", flagged for review",""),"")</f>
        <v/>
      </c>
    </row>
    <row r="320">
      <c r="A320" s="12">
        <f>A319+1</f>
        <v/>
      </c>
      <c r="B320" s="0">
        <f>TEXT(A320,"ddd")</f>
        <v/>
      </c>
      <c r="C320" s="0">
        <f>IFERROR(INDEX(lunar_ref!$B:$B,MATCH($A320,lunar_ref!$A:$A,0)),"")</f>
        <v/>
      </c>
      <c r="D320" s="0">
        <f>IFERROR(INDEX(lunar_ref!$C:$C,MATCH($A320,lunar_ref!$A:$A,0)),"")</f>
        <v/>
      </c>
      <c r="E320" s="0">
        <f>_xlfn.XLOOKUP($D320,lookup!$A:$A,lookup!$B:$B)</f>
        <v/>
      </c>
      <c r="F320" s="0">
        <f>IF($E320=1,"New",IF($E320=15,"Full",""))</f>
        <v/>
      </c>
      <c r="H320" s="0">
        <f>IF($E320="","",IF(OR($E320=8,$E320=14,$E320=15,$E320=23,$E321=1,$E322=1),"Fast day",""))</f>
        <v/>
      </c>
      <c r="I320" s="0">
        <f>IFERROR(INDEX(lookup!$E:$E,MATCH($C320,lookup!$D:$D,0)),"")</f>
        <v/>
      </c>
      <c r="J320" s="0">
        <f>IF($I320="","",IF(OR($I320=1,$I320=5,$I320=9),IF($K320="","Long fast month","Long fast month (LEAP)"),""))</f>
        <v/>
      </c>
      <c r="K320" s="0">
        <f>IFERROR(IF(INDEX(lookup!$G:$G,MATCH($C320,lookup!$D:$D,0))="LEAP","LEAP MONTH - counts as month "&amp;$I320&amp;", flagged for review",""),"")</f>
        <v/>
      </c>
    </row>
    <row r="321">
      <c r="A321" s="12">
        <f>A320+1</f>
        <v/>
      </c>
      <c r="B321" s="0">
        <f>TEXT(A321,"ddd")</f>
        <v/>
      </c>
      <c r="C321" s="0">
        <f>IFERROR(INDEX(lunar_ref!$B:$B,MATCH($A321,lunar_ref!$A:$A,0)),"")</f>
        <v/>
      </c>
      <c r="D321" s="0">
        <f>IFERROR(INDEX(lunar_ref!$C:$C,MATCH($A321,lunar_ref!$A:$A,0)),"")</f>
        <v/>
      </c>
      <c r="E321" s="0">
        <f>_xlfn.XLOOKUP($D321,lookup!$A:$A,lookup!$B:$B)</f>
        <v/>
      </c>
      <c r="F321" s="0">
        <f>IF($E321=1,"New",IF($E321=15,"Full",""))</f>
        <v/>
      </c>
      <c r="H321" s="0">
        <f>IF($E321="","",IF(OR($E321=8,$E321=14,$E321=15,$E321=23,$E322=1,$E323=1),"Fast day",""))</f>
        <v/>
      </c>
      <c r="I321" s="0">
        <f>IFERROR(INDEX(lookup!$E:$E,MATCH($C321,lookup!$D:$D,0)),"")</f>
        <v/>
      </c>
      <c r="J321" s="0">
        <f>IF($I321="","",IF(OR($I321=1,$I321=5,$I321=9),IF($K321="","Long fast month","Long fast month (LEAP)"),""))</f>
        <v/>
      </c>
      <c r="K321" s="0">
        <f>IFERROR(IF(INDEX(lookup!$G:$G,MATCH($C321,lookup!$D:$D,0))="LEAP","LEAP MONTH - counts as month "&amp;$I321&amp;", flagged for review",""),"")</f>
        <v/>
      </c>
    </row>
    <row r="322">
      <c r="A322" s="12">
        <f>A321+1</f>
        <v/>
      </c>
      <c r="B322" s="0">
        <f>TEXT(A322,"ddd")</f>
        <v/>
      </c>
      <c r="C322" s="0">
        <f>IFERROR(INDEX(lunar_ref!$B:$B,MATCH($A322,lunar_ref!$A:$A,0)),"")</f>
        <v/>
      </c>
      <c r="D322" s="0">
        <f>IFERROR(INDEX(lunar_ref!$C:$C,MATCH($A322,lunar_ref!$A:$A,0)),"")</f>
        <v/>
      </c>
      <c r="E322" s="0">
        <f>_xlfn.XLOOKUP($D322,lookup!$A:$A,lookup!$B:$B)</f>
        <v/>
      </c>
      <c r="F322" s="0">
        <f>IF($E322=1,"New",IF($E322=15,"Full",""))</f>
        <v/>
      </c>
      <c r="H322" s="0">
        <f>IF($E322="","",IF(OR($E322=8,$E322=14,$E322=15,$E322=23,$E323=1,$E324=1),"Fast day",""))</f>
        <v/>
      </c>
      <c r="I322" s="0">
        <f>IFERROR(INDEX(lookup!$E:$E,MATCH($C322,lookup!$D:$D,0)),"")</f>
        <v/>
      </c>
      <c r="J322" s="0">
        <f>IF($I322="","",IF(OR($I322=1,$I322=5,$I322=9),IF($K322="","Long fast month","Long fast month (LEAP)"),""))</f>
        <v/>
      </c>
      <c r="K322" s="0">
        <f>IFERROR(IF(INDEX(lookup!$G:$G,MATCH($C322,lookup!$D:$D,0))="LEAP","LEAP MONTH - counts as month "&amp;$I322&amp;", flagged for review",""),"")</f>
        <v/>
      </c>
    </row>
    <row r="323">
      <c r="A323" s="12">
        <f>A322+1</f>
        <v/>
      </c>
      <c r="B323" s="0">
        <f>TEXT(A323,"ddd")</f>
        <v/>
      </c>
      <c r="C323" s="0">
        <f>IFERROR(INDEX(lunar_ref!$B:$B,MATCH($A323,lunar_ref!$A:$A,0)),"")</f>
        <v/>
      </c>
      <c r="D323" s="0">
        <f>IFERROR(INDEX(lunar_ref!$C:$C,MATCH($A323,lunar_ref!$A:$A,0)),"")</f>
        <v/>
      </c>
      <c r="E323" s="0">
        <f>_xlfn.XLOOKUP($D323,lookup!$A:$A,lookup!$B:$B)</f>
        <v/>
      </c>
      <c r="F323" s="0">
        <f>IF($E323=1,"New",IF($E323=15,"Full",""))</f>
        <v/>
      </c>
      <c r="H323" s="0">
        <f>IF($E323="","",IF(OR($E323=8,$E323=14,$E323=15,$E323=23,$E324=1,$E325=1),"Fast day",""))</f>
        <v/>
      </c>
      <c r="I323" s="0">
        <f>IFERROR(INDEX(lookup!$E:$E,MATCH($C323,lookup!$D:$D,0)),"")</f>
        <v/>
      </c>
      <c r="J323" s="0">
        <f>IF($I323="","",IF(OR($I323=1,$I323=5,$I323=9),IF($K323="","Long fast month","Long fast month (LEAP)"),""))</f>
        <v/>
      </c>
      <c r="K323" s="0">
        <f>IFERROR(IF(INDEX(lookup!$G:$G,MATCH($C323,lookup!$D:$D,0))="LEAP","LEAP MONTH - counts as month "&amp;$I323&amp;", flagged for review",""),"")</f>
        <v/>
      </c>
    </row>
    <row r="324">
      <c r="A324" s="12">
        <f>A323+1</f>
        <v/>
      </c>
      <c r="B324" s="0">
        <f>TEXT(A324,"ddd")</f>
        <v/>
      </c>
      <c r="C324" s="0">
        <f>IFERROR(INDEX(lunar_ref!$B:$B,MATCH($A324,lunar_ref!$A:$A,0)),"")</f>
        <v/>
      </c>
      <c r="D324" s="0">
        <f>IFERROR(INDEX(lunar_ref!$C:$C,MATCH($A324,lunar_ref!$A:$A,0)),"")</f>
        <v/>
      </c>
      <c r="E324" s="0">
        <f>_xlfn.XLOOKUP($D324,lookup!$A:$A,lookup!$B:$B)</f>
        <v/>
      </c>
      <c r="F324" s="0">
        <f>IF($E324=1,"New",IF($E324=15,"Full",""))</f>
        <v/>
      </c>
      <c r="H324" s="0">
        <f>IF($E324="","",IF(OR($E324=8,$E324=14,$E324=15,$E324=23,$E325=1,$E326=1),"Fast day",""))</f>
        <v/>
      </c>
      <c r="I324" s="0">
        <f>IFERROR(INDEX(lookup!$E:$E,MATCH($C324,lookup!$D:$D,0)),"")</f>
        <v/>
      </c>
      <c r="J324" s="0">
        <f>IF($I324="","",IF(OR($I324=1,$I324=5,$I324=9),IF($K324="","Long fast month","Long fast month (LEAP)"),""))</f>
        <v/>
      </c>
      <c r="K324" s="0">
        <f>IFERROR(IF(INDEX(lookup!$G:$G,MATCH($C324,lookup!$D:$D,0))="LEAP","LEAP MONTH - counts as month "&amp;$I324&amp;", flagged for review",""),"")</f>
        <v/>
      </c>
    </row>
    <row r="325">
      <c r="A325" s="12">
        <f>A324+1</f>
        <v/>
      </c>
      <c r="B325" s="0">
        <f>TEXT(A325,"ddd")</f>
        <v/>
      </c>
      <c r="C325" s="0">
        <f>IFERROR(INDEX(lunar_ref!$B:$B,MATCH($A325,lunar_ref!$A:$A,0)),"")</f>
        <v/>
      </c>
      <c r="D325" s="0">
        <f>IFERROR(INDEX(lunar_ref!$C:$C,MATCH($A325,lunar_ref!$A:$A,0)),"")</f>
        <v/>
      </c>
      <c r="E325" s="0">
        <f>_xlfn.XLOOKUP($D325,lookup!$A:$A,lookup!$B:$B)</f>
        <v/>
      </c>
      <c r="F325" s="0">
        <f>IF($E325=1,"New",IF($E325=15,"Full",""))</f>
        <v/>
      </c>
      <c r="H325" s="0">
        <f>IF($E325="","",IF(OR($E325=8,$E325=14,$E325=15,$E325=23,$E326=1,$E327=1),"Fast day",""))</f>
        <v/>
      </c>
      <c r="I325" s="0">
        <f>IFERROR(INDEX(lookup!$E:$E,MATCH($C325,lookup!$D:$D,0)),"")</f>
        <v/>
      </c>
      <c r="J325" s="0">
        <f>IF($I325="","",IF(OR($I325=1,$I325=5,$I325=9),IF($K325="","Long fast month","Long fast month (LEAP)"),""))</f>
        <v/>
      </c>
      <c r="K325" s="0">
        <f>IFERROR(IF(INDEX(lookup!$G:$G,MATCH($C325,lookup!$D:$D,0))="LEAP","LEAP MONTH - counts as month "&amp;$I325&amp;", flagged for review",""),"")</f>
        <v/>
      </c>
    </row>
    <row r="326">
      <c r="A326" s="12">
        <f>A325+1</f>
        <v/>
      </c>
      <c r="B326" s="0">
        <f>TEXT(A326,"ddd")</f>
        <v/>
      </c>
      <c r="C326" s="0">
        <f>IFERROR(INDEX(lunar_ref!$B:$B,MATCH($A326,lunar_ref!$A:$A,0)),"")</f>
        <v/>
      </c>
      <c r="D326" s="0">
        <f>IFERROR(INDEX(lunar_ref!$C:$C,MATCH($A326,lunar_ref!$A:$A,0)),"")</f>
        <v/>
      </c>
      <c r="E326" s="0">
        <f>_xlfn.XLOOKUP($D326,lookup!$A:$A,lookup!$B:$B)</f>
        <v/>
      </c>
      <c r="F326" s="0">
        <f>IF($E326=1,"New",IF($E326=15,"Full",""))</f>
        <v/>
      </c>
      <c r="H326" s="0">
        <f>IF($E326="","",IF(OR($E326=8,$E326=14,$E326=15,$E326=23,$E327=1,$E328=1),"Fast day",""))</f>
        <v/>
      </c>
      <c r="I326" s="0">
        <f>IFERROR(INDEX(lookup!$E:$E,MATCH($C326,lookup!$D:$D,0)),"")</f>
        <v/>
      </c>
      <c r="J326" s="0">
        <f>IF($I326="","",IF(OR($I326=1,$I326=5,$I326=9),IF($K326="","Long fast month","Long fast month (LEAP)"),""))</f>
        <v/>
      </c>
      <c r="K326" s="0">
        <f>IFERROR(IF(INDEX(lookup!$G:$G,MATCH($C326,lookup!$D:$D,0))="LEAP","LEAP MONTH - counts as month "&amp;$I326&amp;", flagged for review",""),"")</f>
        <v/>
      </c>
    </row>
    <row r="327">
      <c r="A327" s="12">
        <f>A326+1</f>
        <v/>
      </c>
      <c r="B327" s="0">
        <f>TEXT(A327,"ddd")</f>
        <v/>
      </c>
      <c r="C327" s="0">
        <f>IFERROR(INDEX(lunar_ref!$B:$B,MATCH($A327,lunar_ref!$A:$A,0)),"")</f>
        <v/>
      </c>
      <c r="D327" s="0">
        <f>IFERROR(INDEX(lunar_ref!$C:$C,MATCH($A327,lunar_ref!$A:$A,0)),"")</f>
        <v/>
      </c>
      <c r="E327" s="0">
        <f>_xlfn.XLOOKUP($D327,lookup!$A:$A,lookup!$B:$B)</f>
        <v/>
      </c>
      <c r="F327" s="0">
        <f>IF($E327=1,"New",IF($E327=15,"Full",""))</f>
        <v/>
      </c>
      <c r="H327" s="0">
        <f>IF($E327="","",IF(OR($E327=8,$E327=14,$E327=15,$E327=23,$E328=1,$E329=1),"Fast day",""))</f>
        <v/>
      </c>
      <c r="I327" s="0">
        <f>IFERROR(INDEX(lookup!$E:$E,MATCH($C327,lookup!$D:$D,0)),"")</f>
        <v/>
      </c>
      <c r="J327" s="0">
        <f>IF($I327="","",IF(OR($I327=1,$I327=5,$I327=9),IF($K327="","Long fast month","Long fast month (LEAP)"),""))</f>
        <v/>
      </c>
      <c r="K327" s="0">
        <f>IFERROR(IF(INDEX(lookup!$G:$G,MATCH($C327,lookup!$D:$D,0))="LEAP","LEAP MONTH - counts as month "&amp;$I327&amp;", flagged for review",""),"")</f>
        <v/>
      </c>
    </row>
    <row r="328">
      <c r="A328" s="12">
        <f>A327+1</f>
        <v/>
      </c>
      <c r="B328" s="0">
        <f>TEXT(A328,"ddd")</f>
        <v/>
      </c>
      <c r="C328" s="0">
        <f>IFERROR(INDEX(lunar_ref!$B:$B,MATCH($A328,lunar_ref!$A:$A,0)),"")</f>
        <v/>
      </c>
      <c r="D328" s="0">
        <f>IFERROR(INDEX(lunar_ref!$C:$C,MATCH($A328,lunar_ref!$A:$A,0)),"")</f>
        <v/>
      </c>
      <c r="E328" s="0">
        <f>_xlfn.XLOOKUP($D328,lookup!$A:$A,lookup!$B:$B)</f>
        <v/>
      </c>
      <c r="F328" s="0">
        <f>IF($E328=1,"New",IF($E328=15,"Full",""))</f>
        <v/>
      </c>
      <c r="H328" s="0">
        <f>IF($E328="","",IF(OR($E328=8,$E328=14,$E328=15,$E328=23,$E329=1,$E330=1),"Fast day",""))</f>
        <v/>
      </c>
      <c r="I328" s="0">
        <f>IFERROR(INDEX(lookup!$E:$E,MATCH($C328,lookup!$D:$D,0)),"")</f>
        <v/>
      </c>
      <c r="J328" s="0">
        <f>IF($I328="","",IF(OR($I328=1,$I328=5,$I328=9),IF($K328="","Long fast month","Long fast month (LEAP)"),""))</f>
        <v/>
      </c>
      <c r="K328" s="0">
        <f>IFERROR(IF(INDEX(lookup!$G:$G,MATCH($C328,lookup!$D:$D,0))="LEAP","LEAP MONTH - counts as month "&amp;$I328&amp;", flagged for review",""),"")</f>
        <v/>
      </c>
    </row>
    <row r="329">
      <c r="A329" s="12">
        <f>A328+1</f>
        <v/>
      </c>
      <c r="B329" s="0">
        <f>TEXT(A329,"ddd")</f>
        <v/>
      </c>
      <c r="C329" s="0">
        <f>IFERROR(INDEX(lunar_ref!$B:$B,MATCH($A329,lunar_ref!$A:$A,0)),"")</f>
        <v/>
      </c>
      <c r="D329" s="0">
        <f>IFERROR(INDEX(lunar_ref!$C:$C,MATCH($A329,lunar_ref!$A:$A,0)),"")</f>
        <v/>
      </c>
      <c r="E329" s="0">
        <f>_xlfn.XLOOKUP($D329,lookup!$A:$A,lookup!$B:$B)</f>
        <v/>
      </c>
      <c r="F329" s="0">
        <f>IF($E329=1,"New",IF($E329=15,"Full",""))</f>
        <v/>
      </c>
      <c r="H329" s="0">
        <f>IF($E329="","",IF(OR($E329=8,$E329=14,$E329=15,$E329=23,$E330=1,$E331=1),"Fast day",""))</f>
        <v/>
      </c>
      <c r="I329" s="0">
        <f>IFERROR(INDEX(lookup!$E:$E,MATCH($C329,lookup!$D:$D,0)),"")</f>
        <v/>
      </c>
      <c r="J329" s="0">
        <f>IF($I329="","",IF(OR($I329=1,$I329=5,$I329=9),IF($K329="","Long fast month","Long fast month (LEAP)"),""))</f>
        <v/>
      </c>
      <c r="K329" s="0">
        <f>IFERROR(IF(INDEX(lookup!$G:$G,MATCH($C329,lookup!$D:$D,0))="LEAP","LEAP MONTH - counts as month "&amp;$I329&amp;", flagged for review",""),"")</f>
        <v/>
      </c>
    </row>
    <row r="330">
      <c r="A330" s="12">
        <f>A329+1</f>
        <v/>
      </c>
      <c r="B330" s="0">
        <f>TEXT(A330,"ddd")</f>
        <v/>
      </c>
      <c r="C330" s="0">
        <f>IFERROR(INDEX(lunar_ref!$B:$B,MATCH($A330,lunar_ref!$A:$A,0)),"")</f>
        <v/>
      </c>
      <c r="D330" s="0">
        <f>IFERROR(INDEX(lunar_ref!$C:$C,MATCH($A330,lunar_ref!$A:$A,0)),"")</f>
        <v/>
      </c>
      <c r="E330" s="0">
        <f>_xlfn.XLOOKUP($D330,lookup!$A:$A,lookup!$B:$B)</f>
        <v/>
      </c>
      <c r="F330" s="0">
        <f>IF($E330=1,"New",IF($E330=15,"Full",""))</f>
        <v/>
      </c>
      <c r="H330" s="0">
        <f>IF($E330="","",IF(OR($E330=8,$E330=14,$E330=15,$E330=23,$E331=1,$E332=1),"Fast day",""))</f>
        <v/>
      </c>
      <c r="I330" s="0">
        <f>IFERROR(INDEX(lookup!$E:$E,MATCH($C330,lookup!$D:$D,0)),"")</f>
        <v/>
      </c>
      <c r="J330" s="0">
        <f>IF($I330="","",IF(OR($I330=1,$I330=5,$I330=9),IF($K330="","Long fast month","Long fast month (LEAP)"),""))</f>
        <v/>
      </c>
      <c r="K330" s="0">
        <f>IFERROR(IF(INDEX(lookup!$G:$G,MATCH($C330,lookup!$D:$D,0))="LEAP","LEAP MONTH - counts as month "&amp;$I330&amp;", flagged for review",""),"")</f>
        <v/>
      </c>
    </row>
    <row r="331">
      <c r="A331" s="12">
        <f>A330+1</f>
        <v/>
      </c>
      <c r="B331" s="0">
        <f>TEXT(A331,"ddd")</f>
        <v/>
      </c>
      <c r="C331" s="0">
        <f>IFERROR(INDEX(lunar_ref!$B:$B,MATCH($A331,lunar_ref!$A:$A,0)),"")</f>
        <v/>
      </c>
      <c r="D331" s="0">
        <f>IFERROR(INDEX(lunar_ref!$C:$C,MATCH($A331,lunar_ref!$A:$A,0)),"")</f>
        <v/>
      </c>
      <c r="E331" s="0">
        <f>_xlfn.XLOOKUP($D331,lookup!$A:$A,lookup!$B:$B)</f>
        <v/>
      </c>
      <c r="F331" s="0">
        <f>IF($E331=1,"New",IF($E331=15,"Full",""))</f>
        <v/>
      </c>
      <c r="H331" s="0">
        <f>IF($E331="","",IF(OR($E331=8,$E331=14,$E331=15,$E331=23,$E332=1,$E333=1),"Fast day",""))</f>
        <v/>
      </c>
      <c r="I331" s="0">
        <f>IFERROR(INDEX(lookup!$E:$E,MATCH($C331,lookup!$D:$D,0)),"")</f>
        <v/>
      </c>
      <c r="J331" s="0">
        <f>IF($I331="","",IF(OR($I331=1,$I331=5,$I331=9),IF($K331="","Long fast month","Long fast month (LEAP)"),""))</f>
        <v/>
      </c>
      <c r="K331" s="0">
        <f>IFERROR(IF(INDEX(lookup!$G:$G,MATCH($C331,lookup!$D:$D,0))="LEAP","LEAP MONTH - counts as month "&amp;$I331&amp;", flagged for review",""),"")</f>
        <v/>
      </c>
    </row>
    <row r="332">
      <c r="A332" s="12">
        <f>A331+1</f>
        <v/>
      </c>
      <c r="B332" s="0">
        <f>TEXT(A332,"ddd")</f>
        <v/>
      </c>
      <c r="C332" s="0">
        <f>IFERROR(INDEX(lunar_ref!$B:$B,MATCH($A332,lunar_ref!$A:$A,0)),"")</f>
        <v/>
      </c>
      <c r="D332" s="0">
        <f>IFERROR(INDEX(lunar_ref!$C:$C,MATCH($A332,lunar_ref!$A:$A,0)),"")</f>
        <v/>
      </c>
      <c r="E332" s="0">
        <f>_xlfn.XLOOKUP($D332,lookup!$A:$A,lookup!$B:$B)</f>
        <v/>
      </c>
      <c r="F332" s="0">
        <f>IF($E332=1,"New",IF($E332=15,"Full",""))</f>
        <v/>
      </c>
      <c r="H332" s="0">
        <f>IF($E332="","",IF(OR($E332=8,$E332=14,$E332=15,$E332=23,$E333=1,$E334=1),"Fast day",""))</f>
        <v/>
      </c>
      <c r="I332" s="0">
        <f>IFERROR(INDEX(lookup!$E:$E,MATCH($C332,lookup!$D:$D,0)),"")</f>
        <v/>
      </c>
      <c r="J332" s="0">
        <f>IF($I332="","",IF(OR($I332=1,$I332=5,$I332=9),IF($K332="","Long fast month","Long fast month (LEAP)"),""))</f>
        <v/>
      </c>
      <c r="K332" s="0">
        <f>IFERROR(IF(INDEX(lookup!$G:$G,MATCH($C332,lookup!$D:$D,0))="LEAP","LEAP MONTH - counts as month "&amp;$I332&amp;", flagged for review",""),"")</f>
        <v/>
      </c>
    </row>
    <row r="333">
      <c r="A333" s="12">
        <f>A332+1</f>
        <v/>
      </c>
      <c r="B333" s="0">
        <f>TEXT(A333,"ddd")</f>
        <v/>
      </c>
      <c r="C333" s="0">
        <f>IFERROR(INDEX(lunar_ref!$B:$B,MATCH($A333,lunar_ref!$A:$A,0)),"")</f>
        <v/>
      </c>
      <c r="D333" s="0">
        <f>IFERROR(INDEX(lunar_ref!$C:$C,MATCH($A333,lunar_ref!$A:$A,0)),"")</f>
        <v/>
      </c>
      <c r="E333" s="0">
        <f>_xlfn.XLOOKUP($D333,lookup!$A:$A,lookup!$B:$B)</f>
        <v/>
      </c>
      <c r="F333" s="0">
        <f>IF($E333=1,"New",IF($E333=15,"Full",""))</f>
        <v/>
      </c>
      <c r="H333" s="0">
        <f>IF($E333="","",IF(OR($E333=8,$E333=14,$E333=15,$E333=23,$E334=1,$E335=1),"Fast day",""))</f>
        <v/>
      </c>
      <c r="I333" s="0">
        <f>IFERROR(INDEX(lookup!$E:$E,MATCH($C333,lookup!$D:$D,0)),"")</f>
        <v/>
      </c>
      <c r="J333" s="0">
        <f>IF($I333="","",IF(OR($I333=1,$I333=5,$I333=9),IF($K333="","Long fast month","Long fast month (LEAP)"),""))</f>
        <v/>
      </c>
      <c r="K333" s="0">
        <f>IFERROR(IF(INDEX(lookup!$G:$G,MATCH($C333,lookup!$D:$D,0))="LEAP","LEAP MONTH - counts as month "&amp;$I333&amp;", flagged for review",""),"")</f>
        <v/>
      </c>
    </row>
    <row r="334">
      <c r="A334" s="12">
        <f>A333+1</f>
        <v/>
      </c>
      <c r="B334" s="0">
        <f>TEXT(A334,"ddd")</f>
        <v/>
      </c>
      <c r="C334" s="0">
        <f>IFERROR(INDEX(lunar_ref!$B:$B,MATCH($A334,lunar_ref!$A:$A,0)),"")</f>
        <v/>
      </c>
      <c r="D334" s="0">
        <f>IFERROR(INDEX(lunar_ref!$C:$C,MATCH($A334,lunar_ref!$A:$A,0)),"")</f>
        <v/>
      </c>
      <c r="E334" s="0">
        <f>_xlfn.XLOOKUP($D334,lookup!$A:$A,lookup!$B:$B)</f>
        <v/>
      </c>
      <c r="F334" s="0">
        <f>IF($E334=1,"New",IF($E334=15,"Full",""))</f>
        <v/>
      </c>
      <c r="H334" s="0">
        <f>IF($E334="","",IF(OR($E334=8,$E334=14,$E334=15,$E334=23,$E335=1,$E336=1),"Fast day",""))</f>
        <v/>
      </c>
      <c r="I334" s="0">
        <f>IFERROR(INDEX(lookup!$E:$E,MATCH($C334,lookup!$D:$D,0)),"")</f>
        <v/>
      </c>
      <c r="J334" s="0">
        <f>IF($I334="","",IF(OR($I334=1,$I334=5,$I334=9),IF($K334="","Long fast month","Long fast month (LEAP)"),""))</f>
        <v/>
      </c>
      <c r="K334" s="0">
        <f>IFERROR(IF(INDEX(lookup!$G:$G,MATCH($C334,lookup!$D:$D,0))="LEAP","LEAP MONTH - counts as month "&amp;$I334&amp;", flagged for review",""),"")</f>
        <v/>
      </c>
    </row>
    <row r="335">
      <c r="A335" s="12">
        <f>A334+1</f>
        <v/>
      </c>
      <c r="B335" s="0">
        <f>TEXT(A335,"ddd")</f>
        <v/>
      </c>
      <c r="C335" s="0">
        <f>IFERROR(INDEX(lunar_ref!$B:$B,MATCH($A335,lunar_ref!$A:$A,0)),"")</f>
        <v/>
      </c>
      <c r="D335" s="0">
        <f>IFERROR(INDEX(lunar_ref!$C:$C,MATCH($A335,lunar_ref!$A:$A,0)),"")</f>
        <v/>
      </c>
      <c r="E335" s="0">
        <f>_xlfn.XLOOKUP($D335,lookup!$A:$A,lookup!$B:$B)</f>
        <v/>
      </c>
      <c r="F335" s="0">
        <f>IF($E335=1,"New",IF($E335=15,"Full",""))</f>
        <v/>
      </c>
      <c r="H335" s="0">
        <f>IF($E335="","",IF(OR($E335=8,$E335=14,$E335=15,$E335=23,$E336=1,$E337=1),"Fast day",""))</f>
        <v/>
      </c>
      <c r="I335" s="0">
        <f>IFERROR(INDEX(lookup!$E:$E,MATCH($C335,lookup!$D:$D,0)),"")</f>
        <v/>
      </c>
      <c r="J335" s="0">
        <f>IF($I335="","",IF(OR($I335=1,$I335=5,$I335=9),IF($K335="","Long fast month","Long fast month (LEAP)"),""))</f>
        <v/>
      </c>
      <c r="K335" s="0">
        <f>IFERROR(IF(INDEX(lookup!$G:$G,MATCH($C335,lookup!$D:$D,0))="LEAP","LEAP MONTH - counts as month "&amp;$I335&amp;", flagged for review",""),"")</f>
        <v/>
      </c>
    </row>
    <row r="336">
      <c r="A336" s="12">
        <f>A335+1</f>
        <v/>
      </c>
      <c r="B336" s="0">
        <f>TEXT(A336,"ddd")</f>
        <v/>
      </c>
      <c r="C336" s="0">
        <f>IFERROR(INDEX(lunar_ref!$B:$B,MATCH($A336,lunar_ref!$A:$A,0)),"")</f>
        <v/>
      </c>
      <c r="D336" s="0">
        <f>IFERROR(INDEX(lunar_ref!$C:$C,MATCH($A336,lunar_ref!$A:$A,0)),"")</f>
        <v/>
      </c>
      <c r="E336" s="0">
        <f>_xlfn.XLOOKUP($D336,lookup!$A:$A,lookup!$B:$B)</f>
        <v/>
      </c>
      <c r="F336" s="0">
        <f>IF($E336=1,"New",IF($E336=15,"Full",""))</f>
        <v/>
      </c>
      <c r="H336" s="0">
        <f>IF($E336="","",IF(OR($E336=8,$E336=14,$E336=15,$E336=23,$E337=1,$E338=1),"Fast day",""))</f>
        <v/>
      </c>
      <c r="I336" s="0">
        <f>IFERROR(INDEX(lookup!$E:$E,MATCH($C336,lookup!$D:$D,0)),"")</f>
        <v/>
      </c>
      <c r="J336" s="0">
        <f>IF($I336="","",IF(OR($I336=1,$I336=5,$I336=9),IF($K336="","Long fast month","Long fast month (LEAP)"),""))</f>
        <v/>
      </c>
      <c r="K336" s="0">
        <f>IFERROR(IF(INDEX(lookup!$G:$G,MATCH($C336,lookup!$D:$D,0))="LEAP","LEAP MONTH - counts as month "&amp;$I336&amp;", flagged for review",""),"")</f>
        <v/>
      </c>
    </row>
    <row r="337">
      <c r="A337" s="12">
        <f>A336+1</f>
        <v/>
      </c>
      <c r="B337" s="0">
        <f>TEXT(A337,"ddd")</f>
        <v/>
      </c>
      <c r="C337" s="0">
        <f>IFERROR(INDEX(lunar_ref!$B:$B,MATCH($A337,lunar_ref!$A:$A,0)),"")</f>
        <v/>
      </c>
      <c r="D337" s="0">
        <f>IFERROR(INDEX(lunar_ref!$C:$C,MATCH($A337,lunar_ref!$A:$A,0)),"")</f>
        <v/>
      </c>
      <c r="E337" s="0">
        <f>_xlfn.XLOOKUP($D337,lookup!$A:$A,lookup!$B:$B)</f>
        <v/>
      </c>
      <c r="F337" s="0">
        <f>IF($E337=1,"New",IF($E337=15,"Full",""))</f>
        <v/>
      </c>
      <c r="H337" s="0">
        <f>IF($E337="","",IF(OR($E337=8,$E337=14,$E337=15,$E337=23,$E338=1,$E339=1),"Fast day",""))</f>
        <v/>
      </c>
      <c r="I337" s="0">
        <f>IFERROR(INDEX(lookup!$E:$E,MATCH($C337,lookup!$D:$D,0)),"")</f>
        <v/>
      </c>
      <c r="J337" s="0">
        <f>IF($I337="","",IF(OR($I337=1,$I337=5,$I337=9),IF($K337="","Long fast month","Long fast month (LEAP)"),""))</f>
        <v/>
      </c>
      <c r="K337" s="0">
        <f>IFERROR(IF(INDEX(lookup!$G:$G,MATCH($C337,lookup!$D:$D,0))="LEAP","LEAP MONTH - counts as month "&amp;$I337&amp;", flagged for review",""),"")</f>
        <v/>
      </c>
    </row>
    <row r="338">
      <c r="A338" s="12">
        <f>A337+1</f>
        <v/>
      </c>
      <c r="B338" s="0">
        <f>TEXT(A338,"ddd")</f>
        <v/>
      </c>
      <c r="C338" s="0">
        <f>IFERROR(INDEX(lunar_ref!$B:$B,MATCH($A338,lunar_ref!$A:$A,0)),"")</f>
        <v/>
      </c>
      <c r="D338" s="0">
        <f>IFERROR(INDEX(lunar_ref!$C:$C,MATCH($A338,lunar_ref!$A:$A,0)),"")</f>
        <v/>
      </c>
      <c r="E338" s="0">
        <f>_xlfn.XLOOKUP($D338,lookup!$A:$A,lookup!$B:$B)</f>
        <v/>
      </c>
      <c r="F338" s="0">
        <f>IF($E338=1,"New",IF($E338=15,"Full",""))</f>
        <v/>
      </c>
      <c r="H338" s="0">
        <f>IF($E338="","",IF(OR($E338=8,$E338=14,$E338=15,$E338=23,$E339=1,$E340=1),"Fast day",""))</f>
        <v/>
      </c>
      <c r="I338" s="0">
        <f>IFERROR(INDEX(lookup!$E:$E,MATCH($C338,lookup!$D:$D,0)),"")</f>
        <v/>
      </c>
      <c r="J338" s="0">
        <f>IF($I338="","",IF(OR($I338=1,$I338=5,$I338=9),IF($K338="","Long fast month","Long fast month (LEAP)"),""))</f>
        <v/>
      </c>
      <c r="K338" s="0">
        <f>IFERROR(IF(INDEX(lookup!$G:$G,MATCH($C338,lookup!$D:$D,0))="LEAP","LEAP MONTH - counts as month "&amp;$I338&amp;", flagged for review",""),"")</f>
        <v/>
      </c>
    </row>
    <row r="339">
      <c r="A339" s="12">
        <f>A338+1</f>
        <v/>
      </c>
      <c r="B339" s="0">
        <f>TEXT(A339,"ddd")</f>
        <v/>
      </c>
      <c r="C339" s="0">
        <f>IFERROR(INDEX(lunar_ref!$B:$B,MATCH($A339,lunar_ref!$A:$A,0)),"")</f>
        <v/>
      </c>
      <c r="D339" s="0">
        <f>IFERROR(INDEX(lunar_ref!$C:$C,MATCH($A339,lunar_ref!$A:$A,0)),"")</f>
        <v/>
      </c>
      <c r="E339" s="0">
        <f>_xlfn.XLOOKUP($D339,lookup!$A:$A,lookup!$B:$B)</f>
        <v/>
      </c>
      <c r="F339" s="0">
        <f>IF($E339=1,"New",IF($E339=15,"Full",""))</f>
        <v/>
      </c>
      <c r="H339" s="0">
        <f>IF($E339="","",IF(OR($E339=8,$E339=14,$E339=15,$E339=23,$E340=1,$E341=1),"Fast day",""))</f>
        <v/>
      </c>
      <c r="I339" s="0">
        <f>IFERROR(INDEX(lookup!$E:$E,MATCH($C339,lookup!$D:$D,0)),"")</f>
        <v/>
      </c>
      <c r="J339" s="0">
        <f>IF($I339="","",IF(OR($I339=1,$I339=5,$I339=9),IF($K339="","Long fast month","Long fast month (LEAP)"),""))</f>
        <v/>
      </c>
      <c r="K339" s="0">
        <f>IFERROR(IF(INDEX(lookup!$G:$G,MATCH($C339,lookup!$D:$D,0))="LEAP","LEAP MONTH - counts as month "&amp;$I339&amp;", flagged for review",""),"")</f>
        <v/>
      </c>
    </row>
    <row r="340">
      <c r="A340" s="12">
        <f>A339+1</f>
        <v/>
      </c>
      <c r="B340" s="0">
        <f>TEXT(A340,"ddd")</f>
        <v/>
      </c>
      <c r="C340" s="0">
        <f>IFERROR(INDEX(lunar_ref!$B:$B,MATCH($A340,lunar_ref!$A:$A,0)),"")</f>
        <v/>
      </c>
      <c r="D340" s="0">
        <f>IFERROR(INDEX(lunar_ref!$C:$C,MATCH($A340,lunar_ref!$A:$A,0)),"")</f>
        <v/>
      </c>
      <c r="E340" s="0">
        <f>_xlfn.XLOOKUP($D340,lookup!$A:$A,lookup!$B:$B)</f>
        <v/>
      </c>
      <c r="F340" s="0">
        <f>IF($E340=1,"New",IF($E340=15,"Full",""))</f>
        <v/>
      </c>
      <c r="H340" s="0">
        <f>IF($E340="","",IF(OR($E340=8,$E340=14,$E340=15,$E340=23,$E341=1,$E342=1),"Fast day",""))</f>
        <v/>
      </c>
      <c r="I340" s="0">
        <f>IFERROR(INDEX(lookup!$E:$E,MATCH($C340,lookup!$D:$D,0)),"")</f>
        <v/>
      </c>
      <c r="J340" s="0">
        <f>IF($I340="","",IF(OR($I340=1,$I340=5,$I340=9),IF($K340="","Long fast month","Long fast month (LEAP)"),""))</f>
        <v/>
      </c>
      <c r="K340" s="0">
        <f>IFERROR(IF(INDEX(lookup!$G:$G,MATCH($C340,lookup!$D:$D,0))="LEAP","LEAP MONTH - counts as month "&amp;$I340&amp;", flagged for review",""),"")</f>
        <v/>
      </c>
    </row>
    <row r="341">
      <c r="A341" s="12">
        <f>A340+1</f>
        <v/>
      </c>
      <c r="B341" s="0">
        <f>TEXT(A341,"ddd")</f>
        <v/>
      </c>
      <c r="C341" s="0">
        <f>IFERROR(INDEX(lunar_ref!$B:$B,MATCH($A341,lunar_ref!$A:$A,0)),"")</f>
        <v/>
      </c>
      <c r="D341" s="0">
        <f>IFERROR(INDEX(lunar_ref!$C:$C,MATCH($A341,lunar_ref!$A:$A,0)),"")</f>
        <v/>
      </c>
      <c r="E341" s="0">
        <f>_xlfn.XLOOKUP($D341,lookup!$A:$A,lookup!$B:$B)</f>
        <v/>
      </c>
      <c r="F341" s="0">
        <f>IF($E341=1,"New",IF($E341=15,"Full",""))</f>
        <v/>
      </c>
      <c r="H341" s="0">
        <f>IF($E341="","",IF(OR($E341=8,$E341=14,$E341=15,$E341=23,$E342=1,$E343=1),"Fast day",""))</f>
        <v/>
      </c>
      <c r="I341" s="0">
        <f>IFERROR(INDEX(lookup!$E:$E,MATCH($C341,lookup!$D:$D,0)),"")</f>
        <v/>
      </c>
      <c r="J341" s="0">
        <f>IF($I341="","",IF(OR($I341=1,$I341=5,$I341=9),IF($K341="","Long fast month","Long fast month (LEAP)"),""))</f>
        <v/>
      </c>
      <c r="K341" s="0">
        <f>IFERROR(IF(INDEX(lookup!$G:$G,MATCH($C341,lookup!$D:$D,0))="LEAP","LEAP MONTH - counts as month "&amp;$I341&amp;", flagged for review",""),"")</f>
        <v/>
      </c>
    </row>
    <row r="342">
      <c r="A342" s="12">
        <f>A341+1</f>
        <v/>
      </c>
      <c r="B342" s="0">
        <f>TEXT(A342,"ddd")</f>
        <v/>
      </c>
      <c r="C342" s="0">
        <f>IFERROR(INDEX(lunar_ref!$B:$B,MATCH($A342,lunar_ref!$A:$A,0)),"")</f>
        <v/>
      </c>
      <c r="D342" s="0">
        <f>IFERROR(INDEX(lunar_ref!$C:$C,MATCH($A342,lunar_ref!$A:$A,0)),"")</f>
        <v/>
      </c>
      <c r="E342" s="0">
        <f>_xlfn.XLOOKUP($D342,lookup!$A:$A,lookup!$B:$B)</f>
        <v/>
      </c>
      <c r="F342" s="0">
        <f>IF($E342=1,"New",IF($E342=15,"Full",""))</f>
        <v/>
      </c>
      <c r="H342" s="0">
        <f>IF($E342="","",IF(OR($E342=8,$E342=14,$E342=15,$E342=23,$E343=1,$E344=1),"Fast day",""))</f>
        <v/>
      </c>
      <c r="I342" s="0">
        <f>IFERROR(INDEX(lookup!$E:$E,MATCH($C342,lookup!$D:$D,0)),"")</f>
        <v/>
      </c>
      <c r="J342" s="0">
        <f>IF($I342="","",IF(OR($I342=1,$I342=5,$I342=9),IF($K342="","Long fast month","Long fast month (LEAP)"),""))</f>
        <v/>
      </c>
      <c r="K342" s="0">
        <f>IFERROR(IF(INDEX(lookup!$G:$G,MATCH($C342,lookup!$D:$D,0))="LEAP","LEAP MONTH - counts as month "&amp;$I342&amp;", flagged for review",""),"")</f>
        <v/>
      </c>
    </row>
    <row r="343">
      <c r="A343" s="12">
        <f>A342+1</f>
        <v/>
      </c>
      <c r="B343" s="0">
        <f>TEXT(A343,"ddd")</f>
        <v/>
      </c>
      <c r="C343" s="0">
        <f>IFERROR(INDEX(lunar_ref!$B:$B,MATCH($A343,lunar_ref!$A:$A,0)),"")</f>
        <v/>
      </c>
      <c r="D343" s="0">
        <f>IFERROR(INDEX(lunar_ref!$C:$C,MATCH($A343,lunar_ref!$A:$A,0)),"")</f>
        <v/>
      </c>
      <c r="E343" s="0">
        <f>_xlfn.XLOOKUP($D343,lookup!$A:$A,lookup!$B:$B)</f>
        <v/>
      </c>
      <c r="F343" s="0">
        <f>IF($E343=1,"New",IF($E343=15,"Full",""))</f>
        <v/>
      </c>
      <c r="H343" s="0">
        <f>IF($E343="","",IF(OR($E343=8,$E343=14,$E343=15,$E343=23,$E344=1,$E345=1),"Fast day",""))</f>
        <v/>
      </c>
      <c r="I343" s="0">
        <f>IFERROR(INDEX(lookup!$E:$E,MATCH($C343,lookup!$D:$D,0)),"")</f>
        <v/>
      </c>
      <c r="J343" s="0">
        <f>IF($I343="","",IF(OR($I343=1,$I343=5,$I343=9),IF($K343="","Long fast month","Long fast month (LEAP)"),""))</f>
        <v/>
      </c>
      <c r="K343" s="0">
        <f>IFERROR(IF(INDEX(lookup!$G:$G,MATCH($C343,lookup!$D:$D,0))="LEAP","LEAP MONTH - counts as month "&amp;$I343&amp;", flagged for review",""),"")</f>
        <v/>
      </c>
    </row>
    <row r="344">
      <c r="A344" s="12">
        <f>A343+1</f>
        <v/>
      </c>
      <c r="B344" s="0">
        <f>TEXT(A344,"ddd")</f>
        <v/>
      </c>
      <c r="C344" s="0">
        <f>IFERROR(INDEX(lunar_ref!$B:$B,MATCH($A344,lunar_ref!$A:$A,0)),"")</f>
        <v/>
      </c>
      <c r="D344" s="0">
        <f>IFERROR(INDEX(lunar_ref!$C:$C,MATCH($A344,lunar_ref!$A:$A,0)),"")</f>
        <v/>
      </c>
      <c r="E344" s="0">
        <f>_xlfn.XLOOKUP($D344,lookup!$A:$A,lookup!$B:$B)</f>
        <v/>
      </c>
      <c r="F344" s="0">
        <f>IF($E344=1,"New",IF($E344=15,"Full",""))</f>
        <v/>
      </c>
      <c r="H344" s="0">
        <f>IF($E344="","",IF(OR($E344=8,$E344=14,$E344=15,$E344=23,$E345=1,$E346=1),"Fast day",""))</f>
        <v/>
      </c>
      <c r="I344" s="0">
        <f>IFERROR(INDEX(lookup!$E:$E,MATCH($C344,lookup!$D:$D,0)),"")</f>
        <v/>
      </c>
      <c r="J344" s="0">
        <f>IF($I344="","",IF(OR($I344=1,$I344=5,$I344=9),IF($K344="","Long fast month","Long fast month (LEAP)"),""))</f>
        <v/>
      </c>
      <c r="K344" s="0">
        <f>IFERROR(IF(INDEX(lookup!$G:$G,MATCH($C344,lookup!$D:$D,0))="LEAP","LEAP MONTH - counts as month "&amp;$I344&amp;", flagged for review",""),"")</f>
        <v/>
      </c>
    </row>
    <row r="345">
      <c r="A345" s="12">
        <f>A344+1</f>
        <v/>
      </c>
      <c r="B345" s="0">
        <f>TEXT(A345,"ddd")</f>
        <v/>
      </c>
      <c r="C345" s="0">
        <f>IFERROR(INDEX(lunar_ref!$B:$B,MATCH($A345,lunar_ref!$A:$A,0)),"")</f>
        <v/>
      </c>
      <c r="D345" s="0">
        <f>IFERROR(INDEX(lunar_ref!$C:$C,MATCH($A345,lunar_ref!$A:$A,0)),"")</f>
        <v/>
      </c>
      <c r="E345" s="0">
        <f>_xlfn.XLOOKUP($D345,lookup!$A:$A,lookup!$B:$B)</f>
        <v/>
      </c>
      <c r="F345" s="0">
        <f>IF($E345=1,"New",IF($E345=15,"Full",""))</f>
        <v/>
      </c>
      <c r="H345" s="0">
        <f>IF($E345="","",IF(OR($E345=8,$E345=14,$E345=15,$E345=23,$E346=1,$E347=1),"Fast day",""))</f>
        <v/>
      </c>
      <c r="I345" s="0">
        <f>IFERROR(INDEX(lookup!$E:$E,MATCH($C345,lookup!$D:$D,0)),"")</f>
        <v/>
      </c>
      <c r="J345" s="0">
        <f>IF($I345="","",IF(OR($I345=1,$I345=5,$I345=9),IF($K345="","Long fast month","Long fast month (LEAP)"),""))</f>
        <v/>
      </c>
      <c r="K345" s="0">
        <f>IFERROR(IF(INDEX(lookup!$G:$G,MATCH($C345,lookup!$D:$D,0))="LEAP","LEAP MONTH - counts as month "&amp;$I345&amp;", flagged for review",""),"")</f>
        <v/>
      </c>
    </row>
    <row r="346">
      <c r="A346" s="12">
        <f>A345+1</f>
        <v/>
      </c>
      <c r="B346" s="0">
        <f>TEXT(A346,"ddd")</f>
        <v/>
      </c>
      <c r="C346" s="0">
        <f>IFERROR(INDEX(lunar_ref!$B:$B,MATCH($A346,lunar_ref!$A:$A,0)),"")</f>
        <v/>
      </c>
      <c r="D346" s="0">
        <f>IFERROR(INDEX(lunar_ref!$C:$C,MATCH($A346,lunar_ref!$A:$A,0)),"")</f>
        <v/>
      </c>
      <c r="E346" s="0">
        <f>_xlfn.XLOOKUP($D346,lookup!$A:$A,lookup!$B:$B)</f>
        <v/>
      </c>
      <c r="F346" s="0">
        <f>IF($E346=1,"New",IF($E346=15,"Full",""))</f>
        <v/>
      </c>
      <c r="H346" s="0">
        <f>IF($E346="","",IF(OR($E346=8,$E346=14,$E346=15,$E346=23,$E347=1,$E348=1),"Fast day",""))</f>
        <v/>
      </c>
      <c r="I346" s="0">
        <f>IFERROR(INDEX(lookup!$E:$E,MATCH($C346,lookup!$D:$D,0)),"")</f>
        <v/>
      </c>
      <c r="J346" s="0">
        <f>IF($I346="","",IF(OR($I346=1,$I346=5,$I346=9),IF($K346="","Long fast month","Long fast month (LEAP)"),""))</f>
        <v/>
      </c>
      <c r="K346" s="0">
        <f>IFERROR(IF(INDEX(lookup!$G:$G,MATCH($C346,lookup!$D:$D,0))="LEAP","LEAP MONTH - counts as month "&amp;$I346&amp;", flagged for review",""),"")</f>
        <v/>
      </c>
    </row>
    <row r="347">
      <c r="A347" s="12">
        <f>A346+1</f>
        <v/>
      </c>
      <c r="B347" s="0">
        <f>TEXT(A347,"ddd")</f>
        <v/>
      </c>
      <c r="C347" s="0">
        <f>IFERROR(INDEX(lunar_ref!$B:$B,MATCH($A347,lunar_ref!$A:$A,0)),"")</f>
        <v/>
      </c>
      <c r="D347" s="0">
        <f>IFERROR(INDEX(lunar_ref!$C:$C,MATCH($A347,lunar_ref!$A:$A,0)),"")</f>
        <v/>
      </c>
      <c r="E347" s="0">
        <f>_xlfn.XLOOKUP($D347,lookup!$A:$A,lookup!$B:$B)</f>
        <v/>
      </c>
      <c r="F347" s="0">
        <f>IF($E347=1,"New",IF($E347=15,"Full",""))</f>
        <v/>
      </c>
      <c r="H347" s="0">
        <f>IF($E347="","",IF(OR($E347=8,$E347=14,$E347=15,$E347=23,$E348=1,$E349=1),"Fast day",""))</f>
        <v/>
      </c>
      <c r="I347" s="0">
        <f>IFERROR(INDEX(lookup!$E:$E,MATCH($C347,lookup!$D:$D,0)),"")</f>
        <v/>
      </c>
      <c r="J347" s="0">
        <f>IF($I347="","",IF(OR($I347=1,$I347=5,$I347=9),IF($K347="","Long fast month","Long fast month (LEAP)"),""))</f>
        <v/>
      </c>
      <c r="K347" s="0">
        <f>IFERROR(IF(INDEX(lookup!$G:$G,MATCH($C347,lookup!$D:$D,0))="LEAP","LEAP MONTH - counts as month "&amp;$I347&amp;", flagged for review",""),"")</f>
        <v/>
      </c>
    </row>
    <row r="348">
      <c r="A348" s="12">
        <f>A347+1</f>
        <v/>
      </c>
      <c r="B348" s="0">
        <f>TEXT(A348,"ddd")</f>
        <v/>
      </c>
      <c r="C348" s="0">
        <f>IFERROR(INDEX(lunar_ref!$B:$B,MATCH($A348,lunar_ref!$A:$A,0)),"")</f>
        <v/>
      </c>
      <c r="D348" s="0">
        <f>IFERROR(INDEX(lunar_ref!$C:$C,MATCH($A348,lunar_ref!$A:$A,0)),"")</f>
        <v/>
      </c>
      <c r="E348" s="0">
        <f>_xlfn.XLOOKUP($D348,lookup!$A:$A,lookup!$B:$B)</f>
        <v/>
      </c>
      <c r="F348" s="0">
        <f>IF($E348=1,"New",IF($E348=15,"Full",""))</f>
        <v/>
      </c>
      <c r="H348" s="0">
        <f>IF($E348="","",IF(OR($E348=8,$E348=14,$E348=15,$E348=23,$E349=1,$E350=1),"Fast day",""))</f>
        <v/>
      </c>
      <c r="I348" s="0">
        <f>IFERROR(INDEX(lookup!$E:$E,MATCH($C348,lookup!$D:$D,0)),"")</f>
        <v/>
      </c>
      <c r="J348" s="0">
        <f>IF($I348="","",IF(OR($I348=1,$I348=5,$I348=9),IF($K348="","Long fast month","Long fast month (LEAP)"),""))</f>
        <v/>
      </c>
      <c r="K348" s="0">
        <f>IFERROR(IF(INDEX(lookup!$G:$G,MATCH($C348,lookup!$D:$D,0))="LEAP","LEAP MONTH - counts as month "&amp;$I348&amp;", flagged for review",""),"")</f>
        <v/>
      </c>
    </row>
    <row r="349">
      <c r="A349" s="12">
        <f>A348+1</f>
        <v/>
      </c>
      <c r="B349" s="0">
        <f>TEXT(A349,"ddd")</f>
        <v/>
      </c>
      <c r="C349" s="0">
        <f>IFERROR(INDEX(lunar_ref!$B:$B,MATCH($A349,lunar_ref!$A:$A,0)),"")</f>
        <v/>
      </c>
      <c r="D349" s="0">
        <f>IFERROR(INDEX(lunar_ref!$C:$C,MATCH($A349,lunar_ref!$A:$A,0)),"")</f>
        <v/>
      </c>
      <c r="E349" s="0">
        <f>_xlfn.XLOOKUP($D349,lookup!$A:$A,lookup!$B:$B)</f>
        <v/>
      </c>
      <c r="F349" s="0">
        <f>IF($E349=1,"New",IF($E349=15,"Full",""))</f>
        <v/>
      </c>
      <c r="H349" s="0">
        <f>IF($E349="","",IF(OR($E349=8,$E349=14,$E349=15,$E349=23,$E350=1,$E351=1),"Fast day",""))</f>
        <v/>
      </c>
      <c r="I349" s="0">
        <f>IFERROR(INDEX(lookup!$E:$E,MATCH($C349,lookup!$D:$D,0)),"")</f>
        <v/>
      </c>
      <c r="J349" s="0">
        <f>IF($I349="","",IF(OR($I349=1,$I349=5,$I349=9),IF($K349="","Long fast month","Long fast month (LEAP)"),""))</f>
        <v/>
      </c>
      <c r="K349" s="0">
        <f>IFERROR(IF(INDEX(lookup!$G:$G,MATCH($C349,lookup!$D:$D,0))="LEAP","LEAP MONTH - counts as month "&amp;$I349&amp;", flagged for review",""),"")</f>
        <v/>
      </c>
    </row>
    <row r="350">
      <c r="A350" s="12">
        <f>A349+1</f>
        <v/>
      </c>
      <c r="B350" s="0">
        <f>TEXT(A350,"ddd")</f>
        <v/>
      </c>
      <c r="C350" s="0">
        <f>IFERROR(INDEX(lunar_ref!$B:$B,MATCH($A350,lunar_ref!$A:$A,0)),"")</f>
        <v/>
      </c>
      <c r="D350" s="0">
        <f>IFERROR(INDEX(lunar_ref!$C:$C,MATCH($A350,lunar_ref!$A:$A,0)),"")</f>
        <v/>
      </c>
      <c r="E350" s="0">
        <f>_xlfn.XLOOKUP($D350,lookup!$A:$A,lookup!$B:$B)</f>
        <v/>
      </c>
      <c r="F350" s="0">
        <f>IF($E350=1,"New",IF($E350=15,"Full",""))</f>
        <v/>
      </c>
      <c r="H350" s="0">
        <f>IF($E350="","",IF(OR($E350=8,$E350=14,$E350=15,$E350=23,$E351=1,$E352=1),"Fast day",""))</f>
        <v/>
      </c>
      <c r="I350" s="0">
        <f>IFERROR(INDEX(lookup!$E:$E,MATCH($C350,lookup!$D:$D,0)),"")</f>
        <v/>
      </c>
      <c r="J350" s="0">
        <f>IF($I350="","",IF(OR($I350=1,$I350=5,$I350=9),IF($K350="","Long fast month","Long fast month (LEAP)"),""))</f>
        <v/>
      </c>
      <c r="K350" s="0">
        <f>IFERROR(IF(INDEX(lookup!$G:$G,MATCH($C350,lookup!$D:$D,0))="LEAP","LEAP MONTH - counts as month "&amp;$I350&amp;", flagged for review",""),"")</f>
        <v/>
      </c>
    </row>
    <row r="351">
      <c r="A351" s="12">
        <f>A350+1</f>
        <v/>
      </c>
      <c r="B351" s="0">
        <f>TEXT(A351,"ddd")</f>
        <v/>
      </c>
      <c r="C351" s="0">
        <f>IFERROR(INDEX(lunar_ref!$B:$B,MATCH($A351,lunar_ref!$A:$A,0)),"")</f>
        <v/>
      </c>
      <c r="D351" s="0">
        <f>IFERROR(INDEX(lunar_ref!$C:$C,MATCH($A351,lunar_ref!$A:$A,0)),"")</f>
        <v/>
      </c>
      <c r="E351" s="0">
        <f>_xlfn.XLOOKUP($D351,lookup!$A:$A,lookup!$B:$B)</f>
        <v/>
      </c>
      <c r="F351" s="0">
        <f>IF($E351=1,"New",IF($E351=15,"Full",""))</f>
        <v/>
      </c>
      <c r="H351" s="0">
        <f>IF($E351="","",IF(OR($E351=8,$E351=14,$E351=15,$E351=23,$E352=1,$E353=1),"Fast day",""))</f>
        <v/>
      </c>
      <c r="I351" s="0">
        <f>IFERROR(INDEX(lookup!$E:$E,MATCH($C351,lookup!$D:$D,0)),"")</f>
        <v/>
      </c>
      <c r="J351" s="0">
        <f>IF($I351="","",IF(OR($I351=1,$I351=5,$I351=9),IF($K351="","Long fast month","Long fast month (LEAP)"),""))</f>
        <v/>
      </c>
      <c r="K351" s="0">
        <f>IFERROR(IF(INDEX(lookup!$G:$G,MATCH($C351,lookup!$D:$D,0))="LEAP","LEAP MONTH - counts as month "&amp;$I351&amp;", flagged for review",""),"")</f>
        <v/>
      </c>
    </row>
    <row r="352">
      <c r="A352" s="12">
        <f>A351+1</f>
        <v/>
      </c>
      <c r="B352" s="0">
        <f>TEXT(A352,"ddd")</f>
        <v/>
      </c>
      <c r="C352" s="0">
        <f>IFERROR(INDEX(lunar_ref!$B:$B,MATCH($A352,lunar_ref!$A:$A,0)),"")</f>
        <v/>
      </c>
      <c r="D352" s="0">
        <f>IFERROR(INDEX(lunar_ref!$C:$C,MATCH($A352,lunar_ref!$A:$A,0)),"")</f>
        <v/>
      </c>
      <c r="E352" s="0">
        <f>_xlfn.XLOOKUP($D352,lookup!$A:$A,lookup!$B:$B)</f>
        <v/>
      </c>
      <c r="F352" s="0">
        <f>IF($E352=1,"New",IF($E352=15,"Full",""))</f>
        <v/>
      </c>
      <c r="H352" s="0">
        <f>IF($E352="","",IF(OR($E352=8,$E352=14,$E352=15,$E352=23,$E353=1,$E354=1),"Fast day",""))</f>
        <v/>
      </c>
      <c r="I352" s="0">
        <f>IFERROR(INDEX(lookup!$E:$E,MATCH($C352,lookup!$D:$D,0)),"")</f>
        <v/>
      </c>
      <c r="J352" s="0">
        <f>IF($I352="","",IF(OR($I352=1,$I352=5,$I352=9),IF($K352="","Long fast month","Long fast month (LEAP)"),""))</f>
        <v/>
      </c>
      <c r="K352" s="0">
        <f>IFERROR(IF(INDEX(lookup!$G:$G,MATCH($C352,lookup!$D:$D,0))="LEAP","LEAP MONTH - counts as month "&amp;$I352&amp;", flagged for review",""),"")</f>
        <v/>
      </c>
    </row>
    <row r="353">
      <c r="A353" s="12">
        <f>A352+1</f>
        <v/>
      </c>
      <c r="B353" s="0">
        <f>TEXT(A353,"ddd")</f>
        <v/>
      </c>
      <c r="C353" s="0">
        <f>IFERROR(INDEX(lunar_ref!$B:$B,MATCH($A353,lunar_ref!$A:$A,0)),"")</f>
        <v/>
      </c>
      <c r="D353" s="0">
        <f>IFERROR(INDEX(lunar_ref!$C:$C,MATCH($A353,lunar_ref!$A:$A,0)),"")</f>
        <v/>
      </c>
      <c r="E353" s="0">
        <f>_xlfn.XLOOKUP($D353,lookup!$A:$A,lookup!$B:$B)</f>
        <v/>
      </c>
      <c r="F353" s="0">
        <f>IF($E353=1,"New",IF($E353=15,"Full",""))</f>
        <v/>
      </c>
      <c r="H353" s="0">
        <f>IF($E353="","",IF(OR($E353=8,$E353=14,$E353=15,$E353=23,$E354=1,$E355=1),"Fast day",""))</f>
        <v/>
      </c>
      <c r="I353" s="0">
        <f>IFERROR(INDEX(lookup!$E:$E,MATCH($C353,lookup!$D:$D,0)),"")</f>
        <v/>
      </c>
      <c r="J353" s="0">
        <f>IF($I353="","",IF(OR($I353=1,$I353=5,$I353=9),IF($K353="","Long fast month","Long fast month (LEAP)"),""))</f>
        <v/>
      </c>
      <c r="K353" s="0">
        <f>IFERROR(IF(INDEX(lookup!$G:$G,MATCH($C353,lookup!$D:$D,0))="LEAP","LEAP MONTH - counts as month "&amp;$I353&amp;", flagged for review",""),"")</f>
        <v/>
      </c>
    </row>
    <row r="354">
      <c r="A354" s="12">
        <f>A353+1</f>
        <v/>
      </c>
      <c r="B354" s="0">
        <f>TEXT(A354,"ddd")</f>
        <v/>
      </c>
      <c r="C354" s="0">
        <f>IFERROR(INDEX(lunar_ref!$B:$B,MATCH($A354,lunar_ref!$A:$A,0)),"")</f>
        <v/>
      </c>
      <c r="D354" s="0">
        <f>IFERROR(INDEX(lunar_ref!$C:$C,MATCH($A354,lunar_ref!$A:$A,0)),"")</f>
        <v/>
      </c>
      <c r="E354" s="0">
        <f>_xlfn.XLOOKUP($D354,lookup!$A:$A,lookup!$B:$B)</f>
        <v/>
      </c>
      <c r="F354" s="0">
        <f>IF($E354=1,"New",IF($E354=15,"Full",""))</f>
        <v/>
      </c>
      <c r="H354" s="0">
        <f>IF($E354="","",IF(OR($E354=8,$E354=14,$E354=15,$E354=23,$E355=1,$E356=1),"Fast day",""))</f>
        <v/>
      </c>
      <c r="I354" s="0">
        <f>IFERROR(INDEX(lookup!$E:$E,MATCH($C354,lookup!$D:$D,0)),"")</f>
        <v/>
      </c>
      <c r="J354" s="0">
        <f>IF($I354="","",IF(OR($I354=1,$I354=5,$I354=9),IF($K354="","Long fast month","Long fast month (LEAP)"),""))</f>
        <v/>
      </c>
      <c r="K354" s="0">
        <f>IFERROR(IF(INDEX(lookup!$G:$G,MATCH($C354,lookup!$D:$D,0))="LEAP","LEAP MONTH - counts as month "&amp;$I354&amp;", flagged for review",""),"")</f>
        <v/>
      </c>
    </row>
    <row r="355">
      <c r="A355" s="12">
        <f>A354+1</f>
        <v/>
      </c>
      <c r="B355" s="0">
        <f>TEXT(A355,"ddd")</f>
        <v/>
      </c>
      <c r="C355" s="0">
        <f>IFERROR(INDEX(lunar_ref!$B:$B,MATCH($A355,lunar_ref!$A:$A,0)),"")</f>
        <v/>
      </c>
      <c r="D355" s="0">
        <f>IFERROR(INDEX(lunar_ref!$C:$C,MATCH($A355,lunar_ref!$A:$A,0)),"")</f>
        <v/>
      </c>
      <c r="E355" s="0">
        <f>_xlfn.XLOOKUP($D355,lookup!$A:$A,lookup!$B:$B)</f>
        <v/>
      </c>
      <c r="F355" s="0">
        <f>IF($E355=1,"New",IF($E355=15,"Full",""))</f>
        <v/>
      </c>
      <c r="H355" s="0">
        <f>IF($E355="","",IF(OR($E355=8,$E355=14,$E355=15,$E355=23,$E356=1,$E357=1),"Fast day",""))</f>
        <v/>
      </c>
      <c r="I355" s="0">
        <f>IFERROR(INDEX(lookup!$E:$E,MATCH($C355,lookup!$D:$D,0)),"")</f>
        <v/>
      </c>
      <c r="J355" s="0">
        <f>IF($I355="","",IF(OR($I355=1,$I355=5,$I355=9),IF($K355="","Long fast month","Long fast month (LEAP)"),""))</f>
        <v/>
      </c>
      <c r="K355" s="0">
        <f>IFERROR(IF(INDEX(lookup!$G:$G,MATCH($C355,lookup!$D:$D,0))="LEAP","LEAP MONTH - counts as month "&amp;$I355&amp;", flagged for review",""),"")</f>
        <v/>
      </c>
    </row>
    <row r="356">
      <c r="A356" s="12">
        <f>A355+1</f>
        <v/>
      </c>
      <c r="B356" s="0">
        <f>TEXT(A356,"ddd")</f>
        <v/>
      </c>
      <c r="C356" s="0">
        <f>IFERROR(INDEX(lunar_ref!$B:$B,MATCH($A356,lunar_ref!$A:$A,0)),"")</f>
        <v/>
      </c>
      <c r="D356" s="0">
        <f>IFERROR(INDEX(lunar_ref!$C:$C,MATCH($A356,lunar_ref!$A:$A,0)),"")</f>
        <v/>
      </c>
      <c r="E356" s="0">
        <f>_xlfn.XLOOKUP($D356,lookup!$A:$A,lookup!$B:$B)</f>
        <v/>
      </c>
      <c r="F356" s="0">
        <f>IF($E356=1,"New",IF($E356=15,"Full",""))</f>
        <v/>
      </c>
      <c r="H356" s="0">
        <f>IF($E356="","",IF(OR($E356=8,$E356=14,$E356=15,$E356=23,$E357=1,$E358=1),"Fast day",""))</f>
        <v/>
      </c>
      <c r="I356" s="0">
        <f>IFERROR(INDEX(lookup!$E:$E,MATCH($C356,lookup!$D:$D,0)),"")</f>
        <v/>
      </c>
      <c r="J356" s="0">
        <f>IF($I356="","",IF(OR($I356=1,$I356=5,$I356=9),IF($K356="","Long fast month","Long fast month (LEAP)"),""))</f>
        <v/>
      </c>
      <c r="K356" s="0">
        <f>IFERROR(IF(INDEX(lookup!$G:$G,MATCH($C356,lookup!$D:$D,0))="LEAP","LEAP MONTH - counts as month "&amp;$I356&amp;", flagged for review",""),"")</f>
        <v/>
      </c>
    </row>
    <row r="357">
      <c r="A357" s="12">
        <f>A356+1</f>
        <v/>
      </c>
      <c r="B357" s="0">
        <f>TEXT(A357,"ddd")</f>
        <v/>
      </c>
      <c r="C357" s="0">
        <f>IFERROR(INDEX(lunar_ref!$B:$B,MATCH($A357,lunar_ref!$A:$A,0)),"")</f>
        <v/>
      </c>
      <c r="D357" s="0">
        <f>IFERROR(INDEX(lunar_ref!$C:$C,MATCH($A357,lunar_ref!$A:$A,0)),"")</f>
        <v/>
      </c>
      <c r="E357" s="0">
        <f>_xlfn.XLOOKUP($D357,lookup!$A:$A,lookup!$B:$B)</f>
        <v/>
      </c>
      <c r="F357" s="0">
        <f>IF($E357=1,"New",IF($E357=15,"Full",""))</f>
        <v/>
      </c>
      <c r="H357" s="0">
        <f>IF($E357="","",IF(OR($E357=8,$E357=14,$E357=15,$E357=23,$E358=1,$E359=1),"Fast day",""))</f>
        <v/>
      </c>
      <c r="I357" s="0">
        <f>IFERROR(INDEX(lookup!$E:$E,MATCH($C357,lookup!$D:$D,0)),"")</f>
        <v/>
      </c>
      <c r="J357" s="0">
        <f>IF($I357="","",IF(OR($I357=1,$I357=5,$I357=9),IF($K357="","Long fast month","Long fast month (LEAP)"),""))</f>
        <v/>
      </c>
      <c r="K357" s="0">
        <f>IFERROR(IF(INDEX(lookup!$G:$G,MATCH($C357,lookup!$D:$D,0))="LEAP","LEAP MONTH - counts as month "&amp;$I357&amp;", flagged for review",""),"")</f>
        <v/>
      </c>
    </row>
    <row r="358">
      <c r="A358" s="12">
        <f>A357+1</f>
        <v/>
      </c>
      <c r="B358" s="0">
        <f>TEXT(A358,"ddd")</f>
        <v/>
      </c>
      <c r="C358" s="0">
        <f>IFERROR(INDEX(lunar_ref!$B:$B,MATCH($A358,lunar_ref!$A:$A,0)),"")</f>
        <v/>
      </c>
      <c r="D358" s="0">
        <f>IFERROR(INDEX(lunar_ref!$C:$C,MATCH($A358,lunar_ref!$A:$A,0)),"")</f>
        <v/>
      </c>
      <c r="E358" s="0">
        <f>_xlfn.XLOOKUP($D358,lookup!$A:$A,lookup!$B:$B)</f>
        <v/>
      </c>
      <c r="F358" s="0">
        <f>IF($E358=1,"New",IF($E358=15,"Full",""))</f>
        <v/>
      </c>
      <c r="H358" s="0">
        <f>IF($E358="","",IF(OR($E358=8,$E358=14,$E358=15,$E358=23,$E359=1,$E360=1),"Fast day",""))</f>
        <v/>
      </c>
      <c r="I358" s="0">
        <f>IFERROR(INDEX(lookup!$E:$E,MATCH($C358,lookup!$D:$D,0)),"")</f>
        <v/>
      </c>
      <c r="J358" s="0">
        <f>IF($I358="","",IF(OR($I358=1,$I358=5,$I358=9),IF($K358="","Long fast month","Long fast month (LEAP)"),""))</f>
        <v/>
      </c>
      <c r="K358" s="0">
        <f>IFERROR(IF(INDEX(lookup!$G:$G,MATCH($C358,lookup!$D:$D,0))="LEAP","LEAP MONTH - counts as month "&amp;$I358&amp;", flagged for review",""),"")</f>
        <v/>
      </c>
    </row>
    <row r="359">
      <c r="A359" s="12">
        <f>A358+1</f>
        <v/>
      </c>
      <c r="B359" s="0">
        <f>TEXT(A359,"ddd")</f>
        <v/>
      </c>
      <c r="C359" s="0">
        <f>IFERROR(INDEX(lunar_ref!$B:$B,MATCH($A359,lunar_ref!$A:$A,0)),"")</f>
        <v/>
      </c>
      <c r="D359" s="0">
        <f>IFERROR(INDEX(lunar_ref!$C:$C,MATCH($A359,lunar_ref!$A:$A,0)),"")</f>
        <v/>
      </c>
      <c r="E359" s="0">
        <f>_xlfn.XLOOKUP($D359,lookup!$A:$A,lookup!$B:$B)</f>
        <v/>
      </c>
      <c r="F359" s="0">
        <f>IF($E359=1,"New",IF($E359=15,"Full",""))</f>
        <v/>
      </c>
      <c r="H359" s="0">
        <f>IF($E359="","",IF(OR($E359=8,$E359=14,$E359=15,$E359=23,$E360=1,$E361=1),"Fast day",""))</f>
        <v/>
      </c>
      <c r="I359" s="0">
        <f>IFERROR(INDEX(lookup!$E:$E,MATCH($C359,lookup!$D:$D,0)),"")</f>
        <v/>
      </c>
      <c r="J359" s="0">
        <f>IF($I359="","",IF(OR($I359=1,$I359=5,$I359=9),IF($K359="","Long fast month","Long fast month (LEAP)"),""))</f>
        <v/>
      </c>
      <c r="K359" s="0">
        <f>IFERROR(IF(INDEX(lookup!$G:$G,MATCH($C359,lookup!$D:$D,0))="LEAP","LEAP MONTH - counts as month "&amp;$I359&amp;", flagged for review",""),"")</f>
        <v/>
      </c>
    </row>
    <row r="360">
      <c r="A360" s="12">
        <f>A359+1</f>
        <v/>
      </c>
      <c r="B360" s="0">
        <f>TEXT(A360,"ddd")</f>
        <v/>
      </c>
      <c r="C360" s="0">
        <f>IFERROR(INDEX(lunar_ref!$B:$B,MATCH($A360,lunar_ref!$A:$A,0)),"")</f>
        <v/>
      </c>
      <c r="D360" s="0">
        <f>IFERROR(INDEX(lunar_ref!$C:$C,MATCH($A360,lunar_ref!$A:$A,0)),"")</f>
        <v/>
      </c>
      <c r="E360" s="0">
        <f>_xlfn.XLOOKUP($D360,lookup!$A:$A,lookup!$B:$B)</f>
        <v/>
      </c>
      <c r="F360" s="0">
        <f>IF($E360=1,"New",IF($E360=15,"Full",""))</f>
        <v/>
      </c>
      <c r="H360" s="0">
        <f>IF($E360="","",IF(OR($E360=8,$E360=14,$E360=15,$E360=23,$E361=1,$E362=1),"Fast day",""))</f>
        <v/>
      </c>
      <c r="I360" s="0">
        <f>IFERROR(INDEX(lookup!$E:$E,MATCH($C360,lookup!$D:$D,0)),"")</f>
        <v/>
      </c>
      <c r="J360" s="0">
        <f>IF($I360="","",IF(OR($I360=1,$I360=5,$I360=9),IF($K360="","Long fast month","Long fast month (LEAP)"),""))</f>
        <v/>
      </c>
      <c r="K360" s="0">
        <f>IFERROR(IF(INDEX(lookup!$G:$G,MATCH($C360,lookup!$D:$D,0))="LEAP","LEAP MONTH - counts as month "&amp;$I360&amp;", flagged for review",""),"")</f>
        <v/>
      </c>
    </row>
    <row r="361">
      <c r="A361" s="12">
        <f>A360+1</f>
        <v/>
      </c>
      <c r="B361" s="0">
        <f>TEXT(A361,"ddd")</f>
        <v/>
      </c>
      <c r="C361" s="0">
        <f>IFERROR(INDEX(lunar_ref!$B:$B,MATCH($A361,lunar_ref!$A:$A,0)),"")</f>
        <v/>
      </c>
      <c r="D361" s="0">
        <f>IFERROR(INDEX(lunar_ref!$C:$C,MATCH($A361,lunar_ref!$A:$A,0)),"")</f>
        <v/>
      </c>
      <c r="E361" s="0">
        <f>_xlfn.XLOOKUP($D361,lookup!$A:$A,lookup!$B:$B)</f>
        <v/>
      </c>
      <c r="F361" s="0">
        <f>IF($E361=1,"New",IF($E361=15,"Full",""))</f>
        <v/>
      </c>
      <c r="H361" s="0">
        <f>IF($E361="","",IF(OR($E361=8,$E361=14,$E361=15,$E361=23,$E362=1,$E363=1),"Fast day",""))</f>
        <v/>
      </c>
      <c r="I361" s="0">
        <f>IFERROR(INDEX(lookup!$E:$E,MATCH($C361,lookup!$D:$D,0)),"")</f>
        <v/>
      </c>
      <c r="J361" s="0">
        <f>IF($I361="","",IF(OR($I361=1,$I361=5,$I361=9),IF($K361="","Long fast month","Long fast month (LEAP)"),""))</f>
        <v/>
      </c>
      <c r="K361" s="0">
        <f>IFERROR(IF(INDEX(lookup!$G:$G,MATCH($C361,lookup!$D:$D,0))="LEAP","LEAP MONTH - counts as month "&amp;$I361&amp;", flagged for review",""),"")</f>
        <v/>
      </c>
    </row>
    <row r="362">
      <c r="A362" s="12">
        <f>A361+1</f>
        <v/>
      </c>
      <c r="B362" s="0">
        <f>TEXT(A362,"ddd")</f>
        <v/>
      </c>
      <c r="C362" s="0">
        <f>IFERROR(INDEX(lunar_ref!$B:$B,MATCH($A362,lunar_ref!$A:$A,0)),"")</f>
        <v/>
      </c>
      <c r="D362" s="0">
        <f>IFERROR(INDEX(lunar_ref!$C:$C,MATCH($A362,lunar_ref!$A:$A,0)),"")</f>
        <v/>
      </c>
      <c r="E362" s="0">
        <f>_xlfn.XLOOKUP($D362,lookup!$A:$A,lookup!$B:$B)</f>
        <v/>
      </c>
      <c r="F362" s="0">
        <f>IF($E362=1,"New",IF($E362=15,"Full",""))</f>
        <v/>
      </c>
      <c r="H362" s="0">
        <f>IF($E362="","",IF(OR($E362=8,$E362=14,$E362=15,$E362=23,$E363=1,$E364=1),"Fast day",""))</f>
        <v/>
      </c>
      <c r="I362" s="0">
        <f>IFERROR(INDEX(lookup!$E:$E,MATCH($C362,lookup!$D:$D,0)),"")</f>
        <v/>
      </c>
      <c r="J362" s="0">
        <f>IF($I362="","",IF(OR($I362=1,$I362=5,$I362=9),IF($K362="","Long fast month","Long fast month (LEAP)"),""))</f>
        <v/>
      </c>
      <c r="K362" s="0">
        <f>IFERROR(IF(INDEX(lookup!$G:$G,MATCH($C362,lookup!$D:$D,0))="LEAP","LEAP MONTH - counts as month "&amp;$I362&amp;", flagged for review",""),"")</f>
        <v/>
      </c>
    </row>
    <row r="363">
      <c r="A363" s="12">
        <f>A362+1</f>
        <v/>
      </c>
      <c r="B363" s="0">
        <f>TEXT(A363,"ddd")</f>
        <v/>
      </c>
      <c r="C363" s="0">
        <f>IFERROR(INDEX(lunar_ref!$B:$B,MATCH($A363,lunar_ref!$A:$A,0)),"")</f>
        <v/>
      </c>
      <c r="D363" s="0">
        <f>IFERROR(INDEX(lunar_ref!$C:$C,MATCH($A363,lunar_ref!$A:$A,0)),"")</f>
        <v/>
      </c>
      <c r="E363" s="0">
        <f>_xlfn.XLOOKUP($D363,lookup!$A:$A,lookup!$B:$B)</f>
        <v/>
      </c>
      <c r="F363" s="0">
        <f>IF($E363=1,"New",IF($E363=15,"Full",""))</f>
        <v/>
      </c>
      <c r="H363" s="0">
        <f>IF($E363="","",IF(OR($E363=8,$E363=14,$E363=15,$E363=23,$E364=1,$E365=1),"Fast day",""))</f>
        <v/>
      </c>
      <c r="I363" s="0">
        <f>IFERROR(INDEX(lookup!$E:$E,MATCH($C363,lookup!$D:$D,0)),"")</f>
        <v/>
      </c>
      <c r="J363" s="0">
        <f>IF($I363="","",IF(OR($I363=1,$I363=5,$I363=9),IF($K363="","Long fast month","Long fast month (LEAP)"),""))</f>
        <v/>
      </c>
      <c r="K363" s="0">
        <f>IFERROR(IF(INDEX(lookup!$G:$G,MATCH($C363,lookup!$D:$D,0))="LEAP","LEAP MONTH - counts as month "&amp;$I363&amp;", flagged for review",""),"")</f>
        <v/>
      </c>
    </row>
    <row r="364">
      <c r="A364" s="12">
        <f>A363+1</f>
        <v/>
      </c>
      <c r="B364" s="0">
        <f>TEXT(A364,"ddd")</f>
        <v/>
      </c>
      <c r="C364" s="0">
        <f>IFERROR(INDEX(lunar_ref!$B:$B,MATCH($A364,lunar_ref!$A:$A,0)),"")</f>
        <v/>
      </c>
      <c r="D364" s="0">
        <f>IFERROR(INDEX(lunar_ref!$C:$C,MATCH($A364,lunar_ref!$A:$A,0)),"")</f>
        <v/>
      </c>
      <c r="E364" s="0">
        <f>_xlfn.XLOOKUP($D364,lookup!$A:$A,lookup!$B:$B)</f>
        <v/>
      </c>
      <c r="F364" s="0">
        <f>IF($E364=1,"New",IF($E364=15,"Full",""))</f>
        <v/>
      </c>
      <c r="H364" s="0">
        <f>IF($E364="","",IF(OR($E364=8,$E364=14,$E364=15,$E364=23,$E365=1,$E366=1),"Fast day",""))</f>
        <v/>
      </c>
      <c r="I364" s="0">
        <f>IFERROR(INDEX(lookup!$E:$E,MATCH($C364,lookup!$D:$D,0)),"")</f>
        <v/>
      </c>
      <c r="J364" s="0">
        <f>IF($I364="","",IF(OR($I364=1,$I364=5,$I364=9),IF($K364="","Long fast month","Long fast month (LEAP)"),""))</f>
        <v/>
      </c>
      <c r="K364" s="0">
        <f>IFERROR(IF(INDEX(lookup!$G:$G,MATCH($C364,lookup!$D:$D,0))="LEAP","LEAP MONTH - counts as month "&amp;$I364&amp;", flagged for review",""),"")</f>
        <v/>
      </c>
    </row>
    <row r="365">
      <c r="A365" s="12">
        <f>A364+1</f>
        <v/>
      </c>
      <c r="B365" s="0">
        <f>TEXT(A365,"ddd")</f>
        <v/>
      </c>
      <c r="C365" s="0">
        <f>IFERROR(INDEX(lunar_ref!$B:$B,MATCH($A365,lunar_ref!$A:$A,0)),"")</f>
        <v/>
      </c>
      <c r="D365" s="0">
        <f>IFERROR(INDEX(lunar_ref!$C:$C,MATCH($A365,lunar_ref!$A:$A,0)),"")</f>
        <v/>
      </c>
      <c r="E365" s="0">
        <f>_xlfn.XLOOKUP($D365,lookup!$A:$A,lookup!$B:$B)</f>
        <v/>
      </c>
      <c r="F365" s="0">
        <f>IF($E365=1,"New",IF($E365=15,"Full",""))</f>
        <v/>
      </c>
      <c r="H365" s="0">
        <f>IF($E365="","",IF(OR($E365=8,$E365=14,$E365=15,$E365=23,$E366=1,$E367=1),"Fast day",""))</f>
        <v/>
      </c>
      <c r="I365" s="0">
        <f>IFERROR(INDEX(lookup!$E:$E,MATCH($C365,lookup!$D:$D,0)),"")</f>
        <v/>
      </c>
      <c r="J365" s="0">
        <f>IF($I365="","",IF(OR($I365=1,$I365=5,$I365=9),IF($K365="","Long fast month","Long fast month (LEAP)"),""))</f>
        <v/>
      </c>
      <c r="K365" s="0">
        <f>IFERROR(IF(INDEX(lookup!$G:$G,MATCH($C365,lookup!$D:$D,0))="LEAP","LEAP MONTH - counts as month "&amp;$I365&amp;", flagged for review",""),"")</f>
        <v/>
      </c>
    </row>
    <row r="366">
      <c r="A366" s="12">
        <f>A365+1</f>
        <v/>
      </c>
      <c r="B366" s="0">
        <f>TEXT(A366,"ddd")</f>
        <v/>
      </c>
      <c r="C366" s="0">
        <f>IFERROR(INDEX(lunar_ref!$B:$B,MATCH($A366,lunar_ref!$A:$A,0)),"")</f>
        <v/>
      </c>
      <c r="D366" s="0">
        <f>IFERROR(INDEX(lunar_ref!$C:$C,MATCH($A366,lunar_ref!$A:$A,0)),"")</f>
        <v/>
      </c>
      <c r="E366" s="0">
        <f>_xlfn.XLOOKUP($D366,lookup!$A:$A,lookup!$B:$B)</f>
        <v/>
      </c>
      <c r="F366" s="0">
        <f>IF($E366=1,"New",IF($E366=15,"Full",""))</f>
        <v/>
      </c>
      <c r="H366" s="0">
        <f>IF($E366="","",IF(OR($E366=8,$E366=14,$E366=15,$E366=23,$E367=1,$E368=1),"Fast day",""))</f>
        <v/>
      </c>
      <c r="I366" s="0">
        <f>IFERROR(INDEX(lookup!$E:$E,MATCH($C366,lookup!$D:$D,0)),"")</f>
        <v/>
      </c>
      <c r="J366" s="0">
        <f>IF($I366="","",IF(OR($I366=1,$I366=5,$I366=9),IF($K366="","Long fast month","Long fast month (LEAP)"),""))</f>
        <v/>
      </c>
      <c r="K366" s="0">
        <f>IFERROR(IF(INDEX(lookup!$G:$G,MATCH($C366,lookup!$D:$D,0))="LEAP","LEAP MONTH - counts as month "&amp;$I366&amp;", flagged for review",""),"")</f>
        <v/>
      </c>
    </row>
    <row r="367">
      <c r="A367" s="12">
        <f>A366+1</f>
        <v/>
      </c>
      <c r="B367" s="0">
        <f>TEXT(A367,"ddd")</f>
        <v/>
      </c>
      <c r="C367" s="0">
        <f>IFERROR(INDEX(lunar_ref!$B:$B,MATCH($A367,lunar_ref!$A:$A,0)),"")</f>
        <v/>
      </c>
      <c r="D367" s="0">
        <f>IFERROR(INDEX(lunar_ref!$C:$C,MATCH($A367,lunar_ref!$A:$A,0)),"")</f>
        <v/>
      </c>
      <c r="E367" s="0">
        <f>_xlfn.XLOOKUP($D367,lookup!$A:$A,lookup!$B:$B)</f>
        <v/>
      </c>
      <c r="F367" s="0">
        <f>IF($E367=1,"New",IF($E367=15,"Full",""))</f>
        <v/>
      </c>
      <c r="H367" s="0">
        <f>IF($E367="","",IF(OR($E367=8,$E367=14,$E367=15,$E367=23,$E368=1,$E369=1),"Fast day",""))</f>
        <v/>
      </c>
      <c r="I367" s="0">
        <f>IFERROR(INDEX(lookup!$E:$E,MATCH($C367,lookup!$D:$D,0)),"")</f>
        <v/>
      </c>
      <c r="J367" s="0">
        <f>IF($I367="","",IF(OR($I367=1,$I367=5,$I367=9),IF($K367="","Long fast month","Long fast month (LEAP)"),""))</f>
        <v/>
      </c>
      <c r="K367" s="0">
        <f>IFERROR(IF(INDEX(lookup!$G:$G,MATCH($C367,lookup!$D:$D,0))="LEAP","LEAP MONTH - counts as month "&amp;$I367&amp;", flagged for review",""),"")</f>
        <v/>
      </c>
    </row>
    <row r="368">
      <c r="A368" s="12">
        <f>A367+1</f>
        <v/>
      </c>
      <c r="B368" s="0">
        <f>TEXT(A368,"ddd")</f>
        <v/>
      </c>
      <c r="C368" s="0">
        <f>IFERROR(INDEX(lunar_ref!$B:$B,MATCH($A368,lunar_ref!$A:$A,0)),"")</f>
        <v/>
      </c>
      <c r="D368" s="0">
        <f>IFERROR(INDEX(lunar_ref!$C:$C,MATCH($A368,lunar_ref!$A:$A,0)),"")</f>
        <v/>
      </c>
      <c r="E368" s="0">
        <f>_xlfn.XLOOKUP($D368,lookup!$A:$A,lookup!$B:$B)</f>
        <v/>
      </c>
      <c r="F368" s="0">
        <f>IF($E368=1,"New",IF($E368=15,"Full",""))</f>
        <v/>
      </c>
      <c r="H368" s="0">
        <f>IF($E368="","",IF(OR($E368=8,$E368=14,$E368=15,$E368=23,$E369=1,$E370=1),"Fast day",""))</f>
        <v/>
      </c>
      <c r="I368" s="0">
        <f>IFERROR(INDEX(lookup!$E:$E,MATCH($C368,lookup!$D:$D,0)),"")</f>
        <v/>
      </c>
      <c r="J368" s="0">
        <f>IF($I368="","",IF(OR($I368=1,$I368=5,$I368=9),IF($K368="","Long fast month","Long fast month (LEAP)"),""))</f>
        <v/>
      </c>
      <c r="K368" s="0">
        <f>IFERROR(IF(INDEX(lookup!$G:$G,MATCH($C368,lookup!$D:$D,0))="LEAP","LEAP MONTH - counts as month "&amp;$I368&amp;", flagged for review",""),"")</f>
        <v/>
      </c>
    </row>
    <row r="369">
      <c r="A369" s="12">
        <f>A368+1</f>
        <v/>
      </c>
      <c r="B369" s="0">
        <f>TEXT(A369,"ddd")</f>
        <v/>
      </c>
      <c r="C369" s="0">
        <f>IFERROR(INDEX(lunar_ref!$B:$B,MATCH($A369,lunar_ref!$A:$A,0)),"")</f>
        <v/>
      </c>
      <c r="D369" s="0">
        <f>IFERROR(INDEX(lunar_ref!$C:$C,MATCH($A369,lunar_ref!$A:$A,0)),"")</f>
        <v/>
      </c>
      <c r="E369" s="0">
        <f>_xlfn.XLOOKUP($D369,lookup!$A:$A,lookup!$B:$B)</f>
        <v/>
      </c>
      <c r="F369" s="0">
        <f>IF($E369=1,"New",IF($E369=15,"Full",""))</f>
        <v/>
      </c>
      <c r="H369" s="0">
        <f>IF($E369="","",IF(OR($E369=8,$E369=14,$E369=15,$E369=23,$E370=1,$E371=1),"Fast day",""))</f>
        <v/>
      </c>
      <c r="I369" s="0">
        <f>IFERROR(INDEX(lookup!$E:$E,MATCH($C369,lookup!$D:$D,0)),"")</f>
        <v/>
      </c>
      <c r="J369" s="0">
        <f>IF($I369="","",IF(OR($I369=1,$I369=5,$I369=9),IF($K369="","Long fast month","Long fast month (LEAP)"),""))</f>
        <v/>
      </c>
      <c r="K369" s="0">
        <f>IFERROR(IF(INDEX(lookup!$G:$G,MATCH($C369,lookup!$D:$D,0))="LEAP","LEAP MONTH - counts as month "&amp;$I369&amp;", flagged for review",""),"")</f>
        <v/>
      </c>
    </row>
    <row r="370">
      <c r="A370" s="12">
        <f>A369+1</f>
        <v/>
      </c>
      <c r="B370" s="0">
        <f>TEXT(A370,"ddd")</f>
        <v/>
      </c>
      <c r="C370" s="0">
        <f>IFERROR(INDEX(lunar_ref!$B:$B,MATCH($A370,lunar_ref!$A:$A,0)),"")</f>
        <v/>
      </c>
      <c r="D370" s="0">
        <f>IFERROR(INDEX(lunar_ref!$C:$C,MATCH($A370,lunar_ref!$A:$A,0)),"")</f>
        <v/>
      </c>
      <c r="E370" s="0">
        <f>_xlfn.XLOOKUP($D370,lookup!$A:$A,lookup!$B:$B)</f>
        <v/>
      </c>
      <c r="F370" s="0">
        <f>IF($E370=1,"New",IF($E370=15,"Full",""))</f>
        <v/>
      </c>
      <c r="H370" s="0">
        <f>IF($E370="","",IF(OR($E370=8,$E370=14,$E370=15,$E370=23,$E371=1,$E372=1),"Fast day",""))</f>
        <v/>
      </c>
      <c r="I370" s="0">
        <f>IFERROR(INDEX(lookup!$E:$E,MATCH($C370,lookup!$D:$D,0)),"")</f>
        <v/>
      </c>
      <c r="J370" s="0">
        <f>IF($I370="","",IF(OR($I370=1,$I370=5,$I370=9),IF($K370="","Long fast month","Long fast month (LEAP)"),""))</f>
        <v/>
      </c>
      <c r="K370" s="0">
        <f>IFERROR(IF(INDEX(lookup!$G:$G,MATCH($C370,lookup!$D:$D,0))="LEAP","LEAP MONTH - counts as month "&amp;$I370&amp;", flagged for review",""),"")</f>
        <v/>
      </c>
    </row>
    <row r="371">
      <c r="A371" s="12">
        <f>A370+1</f>
        <v/>
      </c>
      <c r="B371" s="0">
        <f>TEXT(A371,"ddd")</f>
        <v/>
      </c>
      <c r="C371" s="0">
        <f>IFERROR(INDEX(lunar_ref!$B:$B,MATCH($A371,lunar_ref!$A:$A,0)),"")</f>
        <v/>
      </c>
      <c r="D371" s="0">
        <f>IFERROR(INDEX(lunar_ref!$C:$C,MATCH($A371,lunar_ref!$A:$A,0)),"")</f>
        <v/>
      </c>
      <c r="E371" s="0">
        <f>_xlfn.XLOOKUP($D371,lookup!$A:$A,lookup!$B:$B)</f>
        <v/>
      </c>
      <c r="F371" s="0">
        <f>IF($E371=1,"New",IF($E371=15,"Full",""))</f>
        <v/>
      </c>
      <c r="H371" s="0">
        <f>IF($E371="","",IF(OR($E371=8,$E371=14,$E371=15,$E371=23,$E372=1,$E373=1),"Fast day",""))</f>
        <v/>
      </c>
      <c r="I371" s="0">
        <f>IFERROR(INDEX(lookup!$E:$E,MATCH($C371,lookup!$D:$D,0)),"")</f>
        <v/>
      </c>
      <c r="J371" s="0">
        <f>IF($I371="","",IF(OR($I371=1,$I371=5,$I371=9),IF($K371="","Long fast month","Long fast month (LEAP)"),""))</f>
        <v/>
      </c>
      <c r="K371" s="0">
        <f>IFERROR(IF(INDEX(lookup!$G:$G,MATCH($C371,lookup!$D:$D,0))="LEAP","LEAP MONTH - counts as month "&amp;$I371&amp;", flagged for review",""),"")</f>
        <v/>
      </c>
    </row>
    <row r="372">
      <c r="A372" s="12">
        <f>A371+1</f>
        <v/>
      </c>
      <c r="B372" s="0">
        <f>TEXT(A372,"ddd")</f>
        <v/>
      </c>
      <c r="C372" s="0">
        <f>IFERROR(INDEX(lunar_ref!$B:$B,MATCH($A372,lunar_ref!$A:$A,0)),"")</f>
        <v/>
      </c>
      <c r="D372" s="0">
        <f>IFERROR(INDEX(lunar_ref!$C:$C,MATCH($A372,lunar_ref!$A:$A,0)),"")</f>
        <v/>
      </c>
      <c r="E372" s="0">
        <f>_xlfn.XLOOKUP($D372,lookup!$A:$A,lookup!$B:$B)</f>
        <v/>
      </c>
      <c r="F372" s="0">
        <f>IF($E372=1,"New",IF($E372=15,"Full",""))</f>
        <v/>
      </c>
      <c r="H372" s="0">
        <f>IF($E372="","",IF(OR($E372=8,$E372=14,$E372=15,$E372=23,$E373=1,$E374=1),"Fast day",""))</f>
        <v/>
      </c>
      <c r="I372" s="0">
        <f>IFERROR(INDEX(lookup!$E:$E,MATCH($C372,lookup!$D:$D,0)),"")</f>
        <v/>
      </c>
      <c r="J372" s="0">
        <f>IF($I372="","",IF(OR($I372=1,$I372=5,$I372=9),IF($K372="","Long fast month","Long fast month (LEAP)"),""))</f>
        <v/>
      </c>
      <c r="K372" s="0">
        <f>IFERROR(IF(INDEX(lookup!$G:$G,MATCH($C372,lookup!$D:$D,0))="LEAP","LEAP MONTH - counts as month "&amp;$I372&amp;", flagged for review",""),"")</f>
        <v/>
      </c>
    </row>
    <row r="373">
      <c r="A373" s="12">
        <f>A372+1</f>
        <v/>
      </c>
      <c r="B373" s="0">
        <f>TEXT(A373,"ddd")</f>
        <v/>
      </c>
      <c r="C373" s="0">
        <f>IFERROR(INDEX(lunar_ref!$B:$B,MATCH($A373,lunar_ref!$A:$A,0)),"")</f>
        <v/>
      </c>
      <c r="D373" s="0">
        <f>IFERROR(INDEX(lunar_ref!$C:$C,MATCH($A373,lunar_ref!$A:$A,0)),"")</f>
        <v/>
      </c>
      <c r="E373" s="0">
        <f>_xlfn.XLOOKUP($D373,lookup!$A:$A,lookup!$B:$B)</f>
        <v/>
      </c>
      <c r="F373" s="0">
        <f>IF($E373=1,"New",IF($E373=15,"Full",""))</f>
        <v/>
      </c>
      <c r="H373" s="0">
        <f>IF($E373="","",IF(OR($E373=8,$E373=14,$E373=15,$E373=23,$E374=1,$E375=1),"Fast day",""))</f>
        <v/>
      </c>
      <c r="I373" s="0">
        <f>IFERROR(INDEX(lookup!$E:$E,MATCH($C373,lookup!$D:$D,0)),"")</f>
        <v/>
      </c>
      <c r="J373" s="0">
        <f>IF($I373="","",IF(OR($I373=1,$I373=5,$I373=9),IF($K373="","Long fast month","Long fast month (LEAP)"),""))</f>
        <v/>
      </c>
      <c r="K373" s="0">
        <f>IFERROR(IF(INDEX(lookup!$G:$G,MATCH($C373,lookup!$D:$D,0))="LEAP","LEAP MONTH - counts as month "&amp;$I373&amp;", flagged for review",""),"")</f>
        <v/>
      </c>
    </row>
    <row r="374">
      <c r="A374" s="12">
        <f>A373+1</f>
        <v/>
      </c>
      <c r="B374" s="0">
        <f>TEXT(A374,"ddd")</f>
        <v/>
      </c>
      <c r="C374" s="0">
        <f>IFERROR(INDEX(lunar_ref!$B:$B,MATCH($A374,lunar_ref!$A:$A,0)),"")</f>
        <v/>
      </c>
      <c r="D374" s="0">
        <f>IFERROR(INDEX(lunar_ref!$C:$C,MATCH($A374,lunar_ref!$A:$A,0)),"")</f>
        <v/>
      </c>
      <c r="E374" s="0">
        <f>_xlfn.XLOOKUP($D374,lookup!$A:$A,lookup!$B:$B)</f>
        <v/>
      </c>
      <c r="F374" s="0">
        <f>IF($E374=1,"New",IF($E374=15,"Full",""))</f>
        <v/>
      </c>
      <c r="H374" s="0">
        <f>IF($E374="","",IF(OR($E374=8,$E374=14,$E374=15,$E374=23,$E375=1,$E376=1),"Fast day",""))</f>
        <v/>
      </c>
      <c r="I374" s="0">
        <f>IFERROR(INDEX(lookup!$E:$E,MATCH($C374,lookup!$D:$D,0)),"")</f>
        <v/>
      </c>
      <c r="J374" s="0">
        <f>IF($I374="","",IF(OR($I374=1,$I374=5,$I374=9),IF($K374="","Long fast month","Long fast month (LEAP)"),""))</f>
        <v/>
      </c>
      <c r="K374" s="0">
        <f>IFERROR(IF(INDEX(lookup!$G:$G,MATCH($C374,lookup!$D:$D,0))="LEAP","LEAP MONTH - counts as month "&amp;$I374&amp;", flagged for review",""),"")</f>
        <v/>
      </c>
    </row>
    <row r="375">
      <c r="A375" s="12">
        <f>A374+1</f>
        <v/>
      </c>
      <c r="B375" s="0">
        <f>TEXT(A375,"ddd")</f>
        <v/>
      </c>
      <c r="C375" s="0">
        <f>IFERROR(INDEX(lunar_ref!$B:$B,MATCH($A375,lunar_ref!$A:$A,0)),"")</f>
        <v/>
      </c>
      <c r="D375" s="0">
        <f>IFERROR(INDEX(lunar_ref!$C:$C,MATCH($A375,lunar_ref!$A:$A,0)),"")</f>
        <v/>
      </c>
      <c r="E375" s="0">
        <f>_xlfn.XLOOKUP($D375,lookup!$A:$A,lookup!$B:$B)</f>
        <v/>
      </c>
      <c r="F375" s="0">
        <f>IF($E375=1,"New",IF($E375=15,"Full",""))</f>
        <v/>
      </c>
      <c r="H375" s="0">
        <f>IF($E375="","",IF(OR($E375=8,$E375=14,$E375=15,$E375=23,$E376=1,$E377=1),"Fast day",""))</f>
        <v/>
      </c>
      <c r="I375" s="0">
        <f>IFERROR(INDEX(lookup!$E:$E,MATCH($C375,lookup!$D:$D,0)),"")</f>
        <v/>
      </c>
      <c r="J375" s="0">
        <f>IF($I375="","",IF(OR($I375=1,$I375=5,$I375=9),IF($K375="","Long fast month","Long fast month (LEAP)"),""))</f>
        <v/>
      </c>
      <c r="K375" s="0">
        <f>IFERROR(IF(INDEX(lookup!$G:$G,MATCH($C375,lookup!$D:$D,0))="LEAP","LEAP MONTH - counts as month "&amp;$I375&amp;", flagged for review",""),"")</f>
        <v/>
      </c>
    </row>
    <row r="376">
      <c r="A376" s="12">
        <f>A375+1</f>
        <v/>
      </c>
      <c r="B376" s="0">
        <f>TEXT(A376,"ddd")</f>
        <v/>
      </c>
      <c r="C376" s="0">
        <f>IFERROR(INDEX(lunar_ref!$B:$B,MATCH($A376,lunar_ref!$A:$A,0)),"")</f>
        <v/>
      </c>
      <c r="D376" s="0">
        <f>IFERROR(INDEX(lunar_ref!$C:$C,MATCH($A376,lunar_ref!$A:$A,0)),"")</f>
        <v/>
      </c>
      <c r="E376" s="0">
        <f>_xlfn.XLOOKUP($D376,lookup!$A:$A,lookup!$B:$B)</f>
        <v/>
      </c>
      <c r="F376" s="0">
        <f>IF($E376=1,"New",IF($E376=15,"Full",""))</f>
        <v/>
      </c>
      <c r="H376" s="0">
        <f>IF($E376="","",IF(OR($E376=8,$E376=14,$E376=15,$E376=23,$E377=1,$E378=1),"Fast day",""))</f>
        <v/>
      </c>
      <c r="I376" s="0">
        <f>IFERROR(INDEX(lookup!$E:$E,MATCH($C376,lookup!$D:$D,0)),"")</f>
        <v/>
      </c>
      <c r="J376" s="0">
        <f>IF($I376="","",IF(OR($I376=1,$I376=5,$I376=9),IF($K376="","Long fast month","Long fast month (LEAP)"),""))</f>
        <v/>
      </c>
      <c r="K376" s="0">
        <f>IFERROR(IF(INDEX(lookup!$G:$G,MATCH($C376,lookup!$D:$D,0))="LEAP","LEAP MONTH - counts as month "&amp;$I376&amp;", flagged for review",""),"")</f>
        <v/>
      </c>
    </row>
    <row r="377">
      <c r="A377" s="12">
        <f>A376+1</f>
        <v/>
      </c>
      <c r="B377" s="0">
        <f>TEXT(A377,"ddd")</f>
        <v/>
      </c>
      <c r="C377" s="0">
        <f>IFERROR(INDEX(lunar_ref!$B:$B,MATCH($A377,lunar_ref!$A:$A,0)),"")</f>
        <v/>
      </c>
      <c r="D377" s="0">
        <f>IFERROR(INDEX(lunar_ref!$C:$C,MATCH($A377,lunar_ref!$A:$A,0)),"")</f>
        <v/>
      </c>
      <c r="E377" s="0">
        <f>_xlfn.XLOOKUP($D377,lookup!$A:$A,lookup!$B:$B)</f>
        <v/>
      </c>
      <c r="F377" s="0">
        <f>IF($E377=1,"New",IF($E377=15,"Full",""))</f>
        <v/>
      </c>
      <c r="H377" s="0">
        <f>IF($E377="","",IF(OR($E377=8,$E377=14,$E377=15,$E377=23,$E378=1,$E379=1),"Fast day",""))</f>
        <v/>
      </c>
      <c r="I377" s="0">
        <f>IFERROR(INDEX(lookup!$E:$E,MATCH($C377,lookup!$D:$D,0)),"")</f>
        <v/>
      </c>
      <c r="J377" s="0">
        <f>IF($I377="","",IF(OR($I377=1,$I377=5,$I377=9),IF($K377="","Long fast month","Long fast month (LEAP)"),""))</f>
        <v/>
      </c>
      <c r="K377" s="0">
        <f>IFERROR(IF(INDEX(lookup!$G:$G,MATCH($C377,lookup!$D:$D,0))="LEAP","LEAP MONTH - counts as month "&amp;$I377&amp;", flagged for review",""),"")</f>
        <v/>
      </c>
    </row>
    <row r="378">
      <c r="A378" s="12">
        <f>A377+1</f>
        <v/>
      </c>
      <c r="B378" s="0">
        <f>TEXT(A378,"ddd")</f>
        <v/>
      </c>
      <c r="C378" s="0">
        <f>IFERROR(INDEX(lunar_ref!$B:$B,MATCH($A378,lunar_ref!$A:$A,0)),"")</f>
        <v/>
      </c>
      <c r="D378" s="0">
        <f>IFERROR(INDEX(lunar_ref!$C:$C,MATCH($A378,lunar_ref!$A:$A,0)),"")</f>
        <v/>
      </c>
      <c r="E378" s="0">
        <f>_xlfn.XLOOKUP($D378,lookup!$A:$A,lookup!$B:$B)</f>
        <v/>
      </c>
      <c r="F378" s="0">
        <f>IF($E378=1,"New",IF($E378=15,"Full",""))</f>
        <v/>
      </c>
      <c r="H378" s="0">
        <f>IF($E378="","",IF(OR($E378=8,$E378=14,$E378=15,$E378=23,$E379=1,$E380=1),"Fast day",""))</f>
        <v/>
      </c>
      <c r="I378" s="0">
        <f>IFERROR(INDEX(lookup!$E:$E,MATCH($C378,lookup!$D:$D,0)),"")</f>
        <v/>
      </c>
      <c r="J378" s="0">
        <f>IF($I378="","",IF(OR($I378=1,$I378=5,$I378=9),IF($K378="","Long fast month","Long fast month (LEAP)"),""))</f>
        <v/>
      </c>
      <c r="K378" s="0">
        <f>IFERROR(IF(INDEX(lookup!$G:$G,MATCH($C378,lookup!$D:$D,0))="LEAP","LEAP MONTH - counts as month "&amp;$I378&amp;", flagged for review",""),"")</f>
        <v/>
      </c>
    </row>
    <row r="379">
      <c r="A379" s="12">
        <f>A378+1</f>
        <v/>
      </c>
      <c r="B379" s="0">
        <f>TEXT(A379,"ddd")</f>
        <v/>
      </c>
      <c r="C379" s="0">
        <f>IFERROR(INDEX(lunar_ref!$B:$B,MATCH($A379,lunar_ref!$A:$A,0)),"")</f>
        <v/>
      </c>
      <c r="D379" s="0">
        <f>IFERROR(INDEX(lunar_ref!$C:$C,MATCH($A379,lunar_ref!$A:$A,0)),"")</f>
        <v/>
      </c>
      <c r="E379" s="0">
        <f>_xlfn.XLOOKUP($D379,lookup!$A:$A,lookup!$B:$B)</f>
        <v/>
      </c>
      <c r="F379" s="0">
        <f>IF($E379=1,"New",IF($E379=15,"Full",""))</f>
        <v/>
      </c>
      <c r="H379" s="0">
        <f>IF($E379="","",IF(OR($E379=8,$E379=14,$E379=15,$E379=23,$E380=1,$E381=1),"Fast day",""))</f>
        <v/>
      </c>
      <c r="I379" s="0">
        <f>IFERROR(INDEX(lookup!$E:$E,MATCH($C379,lookup!$D:$D,0)),"")</f>
        <v/>
      </c>
      <c r="J379" s="0">
        <f>IF($I379="","",IF(OR($I379=1,$I379=5,$I379=9),IF($K379="","Long fast month","Long fast month (LEAP)"),""))</f>
        <v/>
      </c>
      <c r="K379" s="0">
        <f>IFERROR(IF(INDEX(lookup!$G:$G,MATCH($C379,lookup!$D:$D,0))="LEAP","LEAP MONTH - counts as month "&amp;$I379&amp;", flagged for review",""),"")</f>
        <v/>
      </c>
    </row>
    <row r="380">
      <c r="A380" s="12">
        <f>A379+1</f>
        <v/>
      </c>
      <c r="B380" s="0">
        <f>TEXT(A380,"ddd")</f>
        <v/>
      </c>
      <c r="C380" s="0">
        <f>IFERROR(INDEX(lunar_ref!$B:$B,MATCH($A380,lunar_ref!$A:$A,0)),"")</f>
        <v/>
      </c>
      <c r="D380" s="0">
        <f>IFERROR(INDEX(lunar_ref!$C:$C,MATCH($A380,lunar_ref!$A:$A,0)),"")</f>
        <v/>
      </c>
      <c r="E380" s="0">
        <f>_xlfn.XLOOKUP($D380,lookup!$A:$A,lookup!$B:$B)</f>
        <v/>
      </c>
      <c r="F380" s="0">
        <f>IF($E380=1,"New",IF($E380=15,"Full",""))</f>
        <v/>
      </c>
      <c r="H380" s="0">
        <f>IF($E380="","",IF(OR($E380=8,$E380=14,$E380=15,$E380=23,$E381=1,$E382=1),"Fast day",""))</f>
        <v/>
      </c>
      <c r="I380" s="0">
        <f>IFERROR(INDEX(lookup!$E:$E,MATCH($C380,lookup!$D:$D,0)),"")</f>
        <v/>
      </c>
      <c r="J380" s="0">
        <f>IF($I380="","",IF(OR($I380=1,$I380=5,$I380=9),IF($K380="","Long fast month","Long fast month (LEAP)"),""))</f>
        <v/>
      </c>
      <c r="K380" s="0">
        <f>IFERROR(IF(INDEX(lookup!$G:$G,MATCH($C380,lookup!$D:$D,0))="LEAP","LEAP MONTH - counts as month "&amp;$I380&amp;", flagged for review",""),"")</f>
        <v/>
      </c>
    </row>
    <row r="381">
      <c r="A381" s="12">
        <f>A380+1</f>
        <v/>
      </c>
      <c r="B381" s="0">
        <f>TEXT(A381,"ddd")</f>
        <v/>
      </c>
      <c r="C381" s="0">
        <f>IFERROR(INDEX(lunar_ref!$B:$B,MATCH($A381,lunar_ref!$A:$A,0)),"")</f>
        <v/>
      </c>
      <c r="D381" s="0">
        <f>IFERROR(INDEX(lunar_ref!$C:$C,MATCH($A381,lunar_ref!$A:$A,0)),"")</f>
        <v/>
      </c>
      <c r="E381" s="0">
        <f>_xlfn.XLOOKUP($D381,lookup!$A:$A,lookup!$B:$B)</f>
        <v/>
      </c>
      <c r="F381" s="0">
        <f>IF($E381=1,"New",IF($E381=15,"Full",""))</f>
        <v/>
      </c>
      <c r="H381" s="0">
        <f>IF($E381="","",IF(OR($E381=8,$E381=14,$E381=15,$E381=23,$E382=1,$E383=1),"Fast day",""))</f>
        <v/>
      </c>
      <c r="I381" s="0">
        <f>IFERROR(INDEX(lookup!$E:$E,MATCH($C381,lookup!$D:$D,0)),"")</f>
        <v/>
      </c>
      <c r="J381" s="0">
        <f>IF($I381="","",IF(OR($I381=1,$I381=5,$I381=9),IF($K381="","Long fast month","Long fast month (LEAP)"),""))</f>
        <v/>
      </c>
      <c r="K381" s="0">
        <f>IFERROR(IF(INDEX(lookup!$G:$G,MATCH($C381,lookup!$D:$D,0))="LEAP","LEAP MONTH - counts as month "&amp;$I381&amp;", flagged for review",""),"")</f>
        <v/>
      </c>
    </row>
    <row r="382">
      <c r="A382" s="12">
        <f>A381+1</f>
        <v/>
      </c>
      <c r="B382" s="0">
        <f>TEXT(A382,"ddd")</f>
        <v/>
      </c>
      <c r="C382" s="0">
        <f>IFERROR(INDEX(lunar_ref!$B:$B,MATCH($A382,lunar_ref!$A:$A,0)),"")</f>
        <v/>
      </c>
      <c r="D382" s="0">
        <f>IFERROR(INDEX(lunar_ref!$C:$C,MATCH($A382,lunar_ref!$A:$A,0)),"")</f>
        <v/>
      </c>
      <c r="E382" s="0">
        <f>_xlfn.XLOOKUP($D382,lookup!$A:$A,lookup!$B:$B)</f>
        <v/>
      </c>
      <c r="F382" s="0">
        <f>IF($E382=1,"New",IF($E382=15,"Full",""))</f>
        <v/>
      </c>
      <c r="H382" s="0">
        <f>IF($E382="","",IF(OR($E382=8,$E382=14,$E382=15,$E382=23,$E383=1,$E384=1),"Fast day",""))</f>
        <v/>
      </c>
      <c r="I382" s="0">
        <f>IFERROR(INDEX(lookup!$E:$E,MATCH($C382,lookup!$D:$D,0)),"")</f>
        <v/>
      </c>
      <c r="J382" s="0">
        <f>IF($I382="","",IF(OR($I382=1,$I382=5,$I382=9),IF($K382="","Long fast month","Long fast month (LEAP)"),""))</f>
        <v/>
      </c>
      <c r="K382" s="0">
        <f>IFERROR(IF(INDEX(lookup!$G:$G,MATCH($C382,lookup!$D:$D,0))="LEAP","LEAP MONTH - counts as month "&amp;$I382&amp;", flagged for review",""),"")</f>
        <v/>
      </c>
    </row>
    <row r="383">
      <c r="A383" s="12">
        <f>A382+1</f>
        <v/>
      </c>
      <c r="B383" s="0">
        <f>TEXT(A383,"ddd")</f>
        <v/>
      </c>
      <c r="C383" s="0">
        <f>IFERROR(INDEX(lunar_ref!$B:$B,MATCH($A383,lunar_ref!$A:$A,0)),"")</f>
        <v/>
      </c>
      <c r="D383" s="0">
        <f>IFERROR(INDEX(lunar_ref!$C:$C,MATCH($A383,lunar_ref!$A:$A,0)),"")</f>
        <v/>
      </c>
      <c r="E383" s="0">
        <f>_xlfn.XLOOKUP($D383,lookup!$A:$A,lookup!$B:$B)</f>
        <v/>
      </c>
      <c r="F383" s="0">
        <f>IF($E383=1,"New",IF($E383=15,"Full",""))</f>
        <v/>
      </c>
      <c r="H383" s="0">
        <f>IF($E383="","",IF(OR($E383=8,$E383=14,$E383=15,$E383=23,$E384=1,$E385=1),"Fast day",""))</f>
        <v/>
      </c>
      <c r="I383" s="0">
        <f>IFERROR(INDEX(lookup!$E:$E,MATCH($C383,lookup!$D:$D,0)),"")</f>
        <v/>
      </c>
      <c r="J383" s="0">
        <f>IF($I383="","",IF(OR($I383=1,$I383=5,$I383=9),IF($K383="","Long fast month","Long fast month (LEAP)"),""))</f>
        <v/>
      </c>
      <c r="K383" s="0">
        <f>IFERROR(IF(INDEX(lookup!$G:$G,MATCH($C383,lookup!$D:$D,0))="LEAP","LEAP MONTH - counts as month "&amp;$I383&amp;", flagged for review",""),"")</f>
        <v/>
      </c>
    </row>
    <row r="384">
      <c r="A384" s="12">
        <f>A383+1</f>
        <v/>
      </c>
      <c r="B384" s="0">
        <f>TEXT(A384,"ddd")</f>
        <v/>
      </c>
      <c r="C384" s="0">
        <f>IFERROR(INDEX(lunar_ref!$B:$B,MATCH($A384,lunar_ref!$A:$A,0)),"")</f>
        <v/>
      </c>
      <c r="D384" s="0">
        <f>IFERROR(INDEX(lunar_ref!$C:$C,MATCH($A384,lunar_ref!$A:$A,0)),"")</f>
        <v/>
      </c>
      <c r="E384" s="0">
        <f>_xlfn.XLOOKUP($D384,lookup!$A:$A,lookup!$B:$B)</f>
        <v/>
      </c>
      <c r="F384" s="0">
        <f>IF($E384=1,"New",IF($E384=15,"Full",""))</f>
        <v/>
      </c>
      <c r="H384" s="0">
        <f>IF($E384="","",IF(OR($E384=8,$E384=14,$E384=15,$E384=23,$E385=1,$E386=1),"Fast day",""))</f>
        <v/>
      </c>
      <c r="I384" s="0">
        <f>IFERROR(INDEX(lookup!$E:$E,MATCH($C384,lookup!$D:$D,0)),"")</f>
        <v/>
      </c>
      <c r="J384" s="0">
        <f>IF($I384="","",IF(OR($I384=1,$I384=5,$I384=9),IF($K384="","Long fast month","Long fast month (LEAP)"),""))</f>
        <v/>
      </c>
      <c r="K384" s="0">
        <f>IFERROR(IF(INDEX(lookup!$G:$G,MATCH($C384,lookup!$D:$D,0))="LEAP","LEAP MONTH - counts as month "&amp;$I384&amp;", flagged for review",""),"")</f>
        <v/>
      </c>
    </row>
    <row r="385">
      <c r="A385" s="12">
        <f>A384+1</f>
        <v/>
      </c>
      <c r="B385" s="0">
        <f>TEXT(A385,"ddd")</f>
        <v/>
      </c>
      <c r="C385" s="0">
        <f>IFERROR(INDEX(lunar_ref!$B:$B,MATCH($A385,lunar_ref!$A:$A,0)),"")</f>
        <v/>
      </c>
      <c r="D385" s="0">
        <f>IFERROR(INDEX(lunar_ref!$C:$C,MATCH($A385,lunar_ref!$A:$A,0)),"")</f>
        <v/>
      </c>
      <c r="E385" s="0">
        <f>_xlfn.XLOOKUP($D385,lookup!$A:$A,lookup!$B:$B)</f>
        <v/>
      </c>
      <c r="F385" s="0">
        <f>IF($E385=1,"New",IF($E385=15,"Full",""))</f>
        <v/>
      </c>
      <c r="H385" s="0">
        <f>IF($E385="","",IF(OR($E385=8,$E385=14,$E385=15,$E385=23,$E386=1,$E387=1),"Fast day",""))</f>
        <v/>
      </c>
      <c r="I385" s="0">
        <f>IFERROR(INDEX(lookup!$E:$E,MATCH($C385,lookup!$D:$D,0)),"")</f>
        <v/>
      </c>
      <c r="J385" s="0">
        <f>IF($I385="","",IF(OR($I385=1,$I385=5,$I385=9),IF($K385="","Long fast month","Long fast month (LEAP)"),""))</f>
        <v/>
      </c>
      <c r="K385" s="0">
        <f>IFERROR(IF(INDEX(lookup!$G:$G,MATCH($C385,lookup!$D:$D,0))="LEAP","LEAP MONTH - counts as month "&amp;$I385&amp;", flagged for review",""),"")</f>
        <v/>
      </c>
    </row>
    <row r="386">
      <c r="A386" s="12">
        <f>A385+1</f>
        <v/>
      </c>
      <c r="B386" s="0">
        <f>TEXT(A386,"ddd")</f>
        <v/>
      </c>
      <c r="C386" s="0">
        <f>IFERROR(INDEX(lunar_ref!$B:$B,MATCH($A386,lunar_ref!$A:$A,0)),"")</f>
        <v/>
      </c>
      <c r="D386" s="0">
        <f>IFERROR(INDEX(lunar_ref!$C:$C,MATCH($A386,lunar_ref!$A:$A,0)),"")</f>
        <v/>
      </c>
      <c r="E386" s="0">
        <f>_xlfn.XLOOKUP($D386,lookup!$A:$A,lookup!$B:$B)</f>
        <v/>
      </c>
      <c r="F386" s="0">
        <f>IF($E386=1,"New",IF($E386=15,"Full",""))</f>
        <v/>
      </c>
      <c r="H386" s="0">
        <f>IF($E386="","",IF(OR($E386=8,$E386=14,$E386=15,$E386=23,$E387=1,$E388=1),"Fast day",""))</f>
        <v/>
      </c>
      <c r="I386" s="0">
        <f>IFERROR(INDEX(lookup!$E:$E,MATCH($C386,lookup!$D:$D,0)),"")</f>
        <v/>
      </c>
      <c r="J386" s="0">
        <f>IF($I386="","",IF(OR($I386=1,$I386=5,$I386=9),IF($K386="","Long fast month","Long fast month (LEAP)"),""))</f>
        <v/>
      </c>
      <c r="K386" s="0">
        <f>IFERROR(IF(INDEX(lookup!$G:$G,MATCH($C386,lookup!$D:$D,0))="LEAP","LEAP MONTH - counts as month "&amp;$I386&amp;", flagged for review",""),"")</f>
        <v/>
      </c>
    </row>
    <row r="387">
      <c r="A387" s="12">
        <f>A386+1</f>
        <v/>
      </c>
      <c r="B387" s="0">
        <f>TEXT(A387,"ddd")</f>
        <v/>
      </c>
      <c r="C387" s="0">
        <f>IFERROR(INDEX(lunar_ref!$B:$B,MATCH($A387,lunar_ref!$A:$A,0)),"")</f>
        <v/>
      </c>
      <c r="D387" s="0">
        <f>IFERROR(INDEX(lunar_ref!$C:$C,MATCH($A387,lunar_ref!$A:$A,0)),"")</f>
        <v/>
      </c>
      <c r="E387" s="0">
        <f>_xlfn.XLOOKUP($D387,lookup!$A:$A,lookup!$B:$B)</f>
        <v/>
      </c>
      <c r="F387" s="0">
        <f>IF($E387=1,"New",IF($E387=15,"Full",""))</f>
        <v/>
      </c>
      <c r="H387" s="0">
        <f>IF($E387="","",IF(OR($E387=8,$E387=14,$E387=15,$E387=23,$E388=1,$E389=1),"Fast day",""))</f>
        <v/>
      </c>
      <c r="I387" s="0">
        <f>IFERROR(INDEX(lookup!$E:$E,MATCH($C387,lookup!$D:$D,0)),"")</f>
        <v/>
      </c>
      <c r="J387" s="0">
        <f>IF($I387="","",IF(OR($I387=1,$I387=5,$I387=9),IF($K387="","Long fast month","Long fast month (LEAP)"),""))</f>
        <v/>
      </c>
      <c r="K387" s="0">
        <f>IFERROR(IF(INDEX(lookup!$G:$G,MATCH($C387,lookup!$D:$D,0))="LEAP","LEAP MONTH - counts as month "&amp;$I387&amp;", flagged for review",""),"")</f>
        <v/>
      </c>
    </row>
    <row r="388">
      <c r="A388" s="12">
        <f>A387+1</f>
        <v/>
      </c>
      <c r="B388" s="0">
        <f>TEXT(A388,"ddd")</f>
        <v/>
      </c>
      <c r="C388" s="0">
        <f>IFERROR(INDEX(lunar_ref!$B:$B,MATCH($A388,lunar_ref!$A:$A,0)),"")</f>
        <v/>
      </c>
      <c r="D388" s="0">
        <f>IFERROR(INDEX(lunar_ref!$C:$C,MATCH($A388,lunar_ref!$A:$A,0)),"")</f>
        <v/>
      </c>
      <c r="E388" s="0">
        <f>_xlfn.XLOOKUP($D388,lookup!$A:$A,lookup!$B:$B)</f>
        <v/>
      </c>
      <c r="F388" s="0">
        <f>IF($E388=1,"New",IF($E388=15,"Full",""))</f>
        <v/>
      </c>
      <c r="H388" s="0">
        <f>IF($E388="","",IF(OR($E388=8,$E388=14,$E388=15,$E388=23,$E389=1,$E390=1),"Fast day",""))</f>
        <v/>
      </c>
      <c r="I388" s="0">
        <f>IFERROR(INDEX(lookup!$E:$E,MATCH($C388,lookup!$D:$D,0)),"")</f>
        <v/>
      </c>
      <c r="J388" s="0">
        <f>IF($I388="","",IF(OR($I388=1,$I388=5,$I388=9),IF($K388="","Long fast month","Long fast month (LEAP)"),""))</f>
        <v/>
      </c>
      <c r="K388" s="0">
        <f>IFERROR(IF(INDEX(lookup!$G:$G,MATCH($C388,lookup!$D:$D,0))="LEAP","LEAP MONTH - counts as month "&amp;$I388&amp;", flagged for review",""),"")</f>
        <v/>
      </c>
    </row>
    <row r="389">
      <c r="A389" s="12">
        <f>A388+1</f>
        <v/>
      </c>
      <c r="B389" s="0">
        <f>TEXT(A389,"ddd")</f>
        <v/>
      </c>
      <c r="C389" s="0">
        <f>IFERROR(INDEX(lunar_ref!$B:$B,MATCH($A389,lunar_ref!$A:$A,0)),"")</f>
        <v/>
      </c>
      <c r="D389" s="0">
        <f>IFERROR(INDEX(lunar_ref!$C:$C,MATCH($A389,lunar_ref!$A:$A,0)),"")</f>
        <v/>
      </c>
      <c r="E389" s="0">
        <f>_xlfn.XLOOKUP($D389,lookup!$A:$A,lookup!$B:$B)</f>
        <v/>
      </c>
      <c r="F389" s="0">
        <f>IF($E389=1,"New",IF($E389=15,"Full",""))</f>
        <v/>
      </c>
      <c r="H389" s="0">
        <f>IF($E389="","",IF(OR($E389=8,$E389=14,$E389=15,$E389=23,$E390=1,$E391=1),"Fast day",""))</f>
        <v/>
      </c>
      <c r="I389" s="0">
        <f>IFERROR(INDEX(lookup!$E:$E,MATCH($C389,lookup!$D:$D,0)),"")</f>
        <v/>
      </c>
      <c r="J389" s="0">
        <f>IF($I389="","",IF(OR($I389=1,$I389=5,$I389=9),IF($K389="","Long fast month","Long fast month (LEAP)"),""))</f>
        <v/>
      </c>
      <c r="K389" s="0">
        <f>IFERROR(IF(INDEX(lookup!$G:$G,MATCH($C389,lookup!$D:$D,0))="LEAP","LEAP MONTH - counts as month "&amp;$I389&amp;", flagged for review",""),"")</f>
        <v/>
      </c>
    </row>
    <row r="390">
      <c r="A390" s="12">
        <f>A389+1</f>
        <v/>
      </c>
      <c r="B390" s="0">
        <f>TEXT(A390,"ddd")</f>
        <v/>
      </c>
      <c r="C390" s="0">
        <f>IFERROR(INDEX(lunar_ref!$B:$B,MATCH($A390,lunar_ref!$A:$A,0)),"")</f>
        <v/>
      </c>
      <c r="D390" s="0">
        <f>IFERROR(INDEX(lunar_ref!$C:$C,MATCH($A390,lunar_ref!$A:$A,0)),"")</f>
        <v/>
      </c>
      <c r="E390" s="0">
        <f>_xlfn.XLOOKUP($D390,lookup!$A:$A,lookup!$B:$B)</f>
        <v/>
      </c>
      <c r="F390" s="0">
        <f>IF($E390=1,"New",IF($E390=15,"Full",""))</f>
        <v/>
      </c>
      <c r="H390" s="0">
        <f>IF($E390="","",IF(OR($E390=8,$E390=14,$E390=15,$E390=23,$E391=1,$E392=1),"Fast day",""))</f>
        <v/>
      </c>
      <c r="I390" s="0">
        <f>IFERROR(INDEX(lookup!$E:$E,MATCH($C390,lookup!$D:$D,0)),"")</f>
        <v/>
      </c>
      <c r="J390" s="0">
        <f>IF($I390="","",IF(OR($I390=1,$I390=5,$I390=9),IF($K390="","Long fast month","Long fast month (LEAP)"),""))</f>
        <v/>
      </c>
      <c r="K390" s="0">
        <f>IFERROR(IF(INDEX(lookup!$G:$G,MATCH($C390,lookup!$D:$D,0))="LEAP","LEAP MONTH - counts as month "&amp;$I390&amp;", flagged for review",""),"")</f>
        <v/>
      </c>
    </row>
    <row r="391">
      <c r="A391" s="12">
        <f>A390+1</f>
        <v/>
      </c>
      <c r="B391" s="0">
        <f>TEXT(A391,"ddd")</f>
        <v/>
      </c>
      <c r="C391" s="0">
        <f>IFERROR(INDEX(lunar_ref!$B:$B,MATCH($A391,lunar_ref!$A:$A,0)),"")</f>
        <v/>
      </c>
      <c r="D391" s="0">
        <f>IFERROR(INDEX(lunar_ref!$C:$C,MATCH($A391,lunar_ref!$A:$A,0)),"")</f>
        <v/>
      </c>
      <c r="E391" s="0">
        <f>_xlfn.XLOOKUP($D391,lookup!$A:$A,lookup!$B:$B)</f>
        <v/>
      </c>
      <c r="F391" s="0">
        <f>IF($E391=1,"New",IF($E391=15,"Full",""))</f>
        <v/>
      </c>
      <c r="H391" s="0">
        <f>IF($E391="","",IF(OR($E391=8,$E391=14,$E391=15,$E391=23,$E392=1,$E393=1),"Fast day",""))</f>
        <v/>
      </c>
      <c r="I391" s="0">
        <f>IFERROR(INDEX(lookup!$E:$E,MATCH($C391,lookup!$D:$D,0)),"")</f>
        <v/>
      </c>
      <c r="J391" s="0">
        <f>IF($I391="","",IF(OR($I391=1,$I391=5,$I391=9),IF($K391="","Long fast month","Long fast month (LEAP)"),""))</f>
        <v/>
      </c>
      <c r="K391" s="0">
        <f>IFERROR(IF(INDEX(lookup!$G:$G,MATCH($C391,lookup!$D:$D,0))="LEAP","LEAP MONTH - counts as month "&amp;$I391&amp;", flagged for review",""),"")</f>
        <v/>
      </c>
    </row>
    <row r="392">
      <c r="A392" s="12">
        <f>A391+1</f>
        <v/>
      </c>
      <c r="B392" s="0">
        <f>TEXT(A392,"ddd")</f>
        <v/>
      </c>
      <c r="C392" s="0">
        <f>IFERROR(INDEX(lunar_ref!$B:$B,MATCH($A392,lunar_ref!$A:$A,0)),"")</f>
        <v/>
      </c>
      <c r="D392" s="0">
        <f>IFERROR(INDEX(lunar_ref!$C:$C,MATCH($A392,lunar_ref!$A:$A,0)),"")</f>
        <v/>
      </c>
      <c r="E392" s="0">
        <f>_xlfn.XLOOKUP($D392,lookup!$A:$A,lookup!$B:$B)</f>
        <v/>
      </c>
      <c r="F392" s="0">
        <f>IF($E392=1,"New",IF($E392=15,"Full",""))</f>
        <v/>
      </c>
      <c r="H392" s="0">
        <f>IF($E392="","",IF(OR($E392=8,$E392=14,$E392=15,$E392=23,$E393=1,$E394=1),"Fast day",""))</f>
        <v/>
      </c>
      <c r="I392" s="0">
        <f>IFERROR(INDEX(lookup!$E:$E,MATCH($C392,lookup!$D:$D,0)),"")</f>
        <v/>
      </c>
      <c r="J392" s="0">
        <f>IF($I392="","",IF(OR($I392=1,$I392=5,$I392=9),IF($K392="","Long fast month","Long fast month (LEAP)"),""))</f>
        <v/>
      </c>
      <c r="K392" s="0">
        <f>IFERROR(IF(INDEX(lookup!$G:$G,MATCH($C392,lookup!$D:$D,0))="LEAP","LEAP MONTH - counts as month "&amp;$I392&amp;", flagged for review",""),"")</f>
        <v/>
      </c>
    </row>
    <row r="393">
      <c r="A393" s="12">
        <f>A392+1</f>
        <v/>
      </c>
      <c r="B393" s="0">
        <f>TEXT(A393,"ddd")</f>
        <v/>
      </c>
      <c r="C393" s="0">
        <f>IFERROR(INDEX(lunar_ref!$B:$B,MATCH($A393,lunar_ref!$A:$A,0)),"")</f>
        <v/>
      </c>
      <c r="D393" s="0">
        <f>IFERROR(INDEX(lunar_ref!$C:$C,MATCH($A393,lunar_ref!$A:$A,0)),"")</f>
        <v/>
      </c>
      <c r="E393" s="0">
        <f>_xlfn.XLOOKUP($D393,lookup!$A:$A,lookup!$B:$B)</f>
        <v/>
      </c>
      <c r="F393" s="0">
        <f>IF($E393=1,"New",IF($E393=15,"Full",""))</f>
        <v/>
      </c>
      <c r="H393" s="0">
        <f>IF($E393="","",IF(OR($E393=8,$E393=14,$E393=15,$E393=23,$E394=1,$E395=1),"Fast day",""))</f>
        <v/>
      </c>
      <c r="I393" s="0">
        <f>IFERROR(INDEX(lookup!$E:$E,MATCH($C393,lookup!$D:$D,0)),"")</f>
        <v/>
      </c>
      <c r="J393" s="0">
        <f>IF($I393="","",IF(OR($I393=1,$I393=5,$I393=9),IF($K393="","Long fast month","Long fast month (LEAP)"),""))</f>
        <v/>
      </c>
      <c r="K393" s="0">
        <f>IFERROR(IF(INDEX(lookup!$G:$G,MATCH($C393,lookup!$D:$D,0))="LEAP","LEAP MONTH - counts as month "&amp;$I393&amp;", flagged for review",""),"")</f>
        <v/>
      </c>
    </row>
    <row r="394">
      <c r="A394" s="12">
        <f>A393+1</f>
        <v/>
      </c>
      <c r="B394" s="0">
        <f>TEXT(A394,"ddd")</f>
        <v/>
      </c>
      <c r="C394" s="0">
        <f>IFERROR(INDEX(lunar_ref!$B:$B,MATCH($A394,lunar_ref!$A:$A,0)),"")</f>
        <v/>
      </c>
      <c r="D394" s="0">
        <f>IFERROR(INDEX(lunar_ref!$C:$C,MATCH($A394,lunar_ref!$A:$A,0)),"")</f>
        <v/>
      </c>
      <c r="E394" s="0">
        <f>_xlfn.XLOOKUP($D394,lookup!$A:$A,lookup!$B:$B)</f>
        <v/>
      </c>
      <c r="F394" s="0">
        <f>IF($E394=1,"New",IF($E394=15,"Full",""))</f>
        <v/>
      </c>
      <c r="H394" s="0">
        <f>IF($E394="","",IF(OR($E394=8,$E394=14,$E394=15,$E394=23,$E395=1,$E396=1),"Fast day",""))</f>
        <v/>
      </c>
      <c r="I394" s="0">
        <f>IFERROR(INDEX(lookup!$E:$E,MATCH($C394,lookup!$D:$D,0)),"")</f>
        <v/>
      </c>
      <c r="J394" s="0">
        <f>IF($I394="","",IF(OR($I394=1,$I394=5,$I394=9),IF($K394="","Long fast month","Long fast month (LEAP)"),""))</f>
        <v/>
      </c>
      <c r="K394" s="0">
        <f>IFERROR(IF(INDEX(lookup!$G:$G,MATCH($C394,lookup!$D:$D,0))="LEAP","LEAP MONTH - counts as month "&amp;$I394&amp;", flagged for review",""),"")</f>
        <v/>
      </c>
    </row>
    <row r="395">
      <c r="A395" s="12">
        <f>A394+1</f>
        <v/>
      </c>
      <c r="B395" s="0">
        <f>TEXT(A395,"ddd")</f>
        <v/>
      </c>
      <c r="C395" s="0">
        <f>IFERROR(INDEX(lunar_ref!$B:$B,MATCH($A395,lunar_ref!$A:$A,0)),"")</f>
        <v/>
      </c>
      <c r="D395" s="0">
        <f>IFERROR(INDEX(lunar_ref!$C:$C,MATCH($A395,lunar_ref!$A:$A,0)),"")</f>
        <v/>
      </c>
      <c r="E395" s="0">
        <f>_xlfn.XLOOKUP($D395,lookup!$A:$A,lookup!$B:$B)</f>
        <v/>
      </c>
      <c r="F395" s="0">
        <f>IF($E395=1,"New",IF($E395=15,"Full",""))</f>
        <v/>
      </c>
      <c r="H395" s="0">
        <f>IF($E395="","",IF(OR($E395=8,$E395=14,$E395=15,$E395=23,$E396=1,$E397=1),"Fast day",""))</f>
        <v/>
      </c>
      <c r="I395" s="0">
        <f>IFERROR(INDEX(lookup!$E:$E,MATCH($C395,lookup!$D:$D,0)),"")</f>
        <v/>
      </c>
      <c r="J395" s="0">
        <f>IF($I395="","",IF(OR($I395=1,$I395=5,$I395=9),IF($K395="","Long fast month","Long fast month (LEAP)"),""))</f>
        <v/>
      </c>
      <c r="K395" s="0">
        <f>IFERROR(IF(INDEX(lookup!$G:$G,MATCH($C395,lookup!$D:$D,0))="LEAP","LEAP MONTH - counts as month "&amp;$I395&amp;", flagged for review",""),"")</f>
        <v/>
      </c>
    </row>
    <row r="396">
      <c r="A396" s="12">
        <f>A395+1</f>
        <v/>
      </c>
      <c r="B396" s="0">
        <f>TEXT(A396,"ddd")</f>
        <v/>
      </c>
      <c r="C396" s="0">
        <f>IFERROR(INDEX(lunar_ref!$B:$B,MATCH($A396,lunar_ref!$A:$A,0)),"")</f>
        <v/>
      </c>
      <c r="D396" s="0">
        <f>IFERROR(INDEX(lunar_ref!$C:$C,MATCH($A396,lunar_ref!$A:$A,0)),"")</f>
        <v/>
      </c>
      <c r="E396" s="0">
        <f>_xlfn.XLOOKUP($D396,lookup!$A:$A,lookup!$B:$B)</f>
        <v/>
      </c>
      <c r="F396" s="0">
        <f>IF($E396=1,"New",IF($E396=15,"Full",""))</f>
        <v/>
      </c>
      <c r="H396" s="0">
        <f>IF($E396="","",IF(OR($E396=8,$E396=14,$E396=15,$E396=23,$E397=1,$E398=1),"Fast day",""))</f>
        <v/>
      </c>
      <c r="I396" s="0">
        <f>IFERROR(INDEX(lookup!$E:$E,MATCH($C396,lookup!$D:$D,0)),"")</f>
        <v/>
      </c>
      <c r="J396" s="0">
        <f>IF($I396="","",IF(OR($I396=1,$I396=5,$I396=9),IF($K396="","Long fast month","Long fast month (LEAP)"),""))</f>
        <v/>
      </c>
      <c r="K396" s="0">
        <f>IFERROR(IF(INDEX(lookup!$G:$G,MATCH($C396,lookup!$D:$D,0))="LEAP","LEAP MONTH - counts as month "&amp;$I396&amp;", flagged for review",""),"")</f>
        <v/>
      </c>
    </row>
    <row r="397">
      <c r="A397" s="12">
        <f>A396+1</f>
        <v/>
      </c>
      <c r="B397" s="0">
        <f>TEXT(A397,"ddd")</f>
        <v/>
      </c>
      <c r="C397" s="0">
        <f>IFERROR(INDEX(lunar_ref!$B:$B,MATCH($A397,lunar_ref!$A:$A,0)),"")</f>
        <v/>
      </c>
      <c r="D397" s="0">
        <f>IFERROR(INDEX(lunar_ref!$C:$C,MATCH($A397,lunar_ref!$A:$A,0)),"")</f>
        <v/>
      </c>
      <c r="E397" s="0">
        <f>_xlfn.XLOOKUP($D397,lookup!$A:$A,lookup!$B:$B)</f>
        <v/>
      </c>
      <c r="F397" s="0">
        <f>IF($E397=1,"New",IF($E397=15,"Full",""))</f>
        <v/>
      </c>
      <c r="H397" s="0">
        <f>IF($E397="","",IF(OR($E397=8,$E397=14,$E397=15,$E397=23,$E398=1,$E399=1),"Fast day",""))</f>
        <v/>
      </c>
      <c r="I397" s="0">
        <f>IFERROR(INDEX(lookup!$E:$E,MATCH($C397,lookup!$D:$D,0)),"")</f>
        <v/>
      </c>
      <c r="J397" s="0">
        <f>IF($I397="","",IF(OR($I397=1,$I397=5,$I397=9),IF($K397="","Long fast month","Long fast month (LEAP)"),""))</f>
        <v/>
      </c>
      <c r="K397" s="0">
        <f>IFERROR(IF(INDEX(lookup!$G:$G,MATCH($C397,lookup!$D:$D,0))="LEAP","LEAP MONTH - counts as month "&amp;$I397&amp;", flagged for review",""),"")</f>
        <v/>
      </c>
    </row>
    <row r="398">
      <c r="A398" s="12">
        <f>A397+1</f>
        <v/>
      </c>
      <c r="B398" s="0">
        <f>TEXT(A398,"ddd")</f>
        <v/>
      </c>
      <c r="C398" s="0">
        <f>IFERROR(INDEX(lunar_ref!$B:$B,MATCH($A398,lunar_ref!$A:$A,0)),"")</f>
        <v/>
      </c>
      <c r="D398" s="0">
        <f>IFERROR(INDEX(lunar_ref!$C:$C,MATCH($A398,lunar_ref!$A:$A,0)),"")</f>
        <v/>
      </c>
      <c r="E398" s="0">
        <f>_xlfn.XLOOKUP($D398,lookup!$A:$A,lookup!$B:$B)</f>
        <v/>
      </c>
      <c r="F398" s="0">
        <f>IF($E398=1,"New",IF($E398=15,"Full",""))</f>
        <v/>
      </c>
      <c r="H398" s="0">
        <f>IF($E398="","",IF(OR($E398=8,$E398=14,$E398=15,$E398=23,$E399=1,$E400=1),"Fast day",""))</f>
        <v/>
      </c>
      <c r="I398" s="0">
        <f>IFERROR(INDEX(lookup!$E:$E,MATCH($C398,lookup!$D:$D,0)),"")</f>
        <v/>
      </c>
      <c r="J398" s="0">
        <f>IF($I398="","",IF(OR($I398=1,$I398=5,$I398=9),IF($K398="","Long fast month","Long fast month (LEAP)"),""))</f>
        <v/>
      </c>
      <c r="K398" s="0">
        <f>IFERROR(IF(INDEX(lookup!$G:$G,MATCH($C398,lookup!$D:$D,0))="LEAP","LEAP MONTH - counts as month "&amp;$I398&amp;", flagged for review",""),"")</f>
        <v/>
      </c>
    </row>
    <row r="399">
      <c r="A399" s="12">
        <f>A398+1</f>
        <v/>
      </c>
      <c r="B399" s="0">
        <f>TEXT(A399,"ddd")</f>
        <v/>
      </c>
      <c r="C399" s="0">
        <f>IFERROR(INDEX(lunar_ref!$B:$B,MATCH($A399,lunar_ref!$A:$A,0)),"")</f>
        <v/>
      </c>
      <c r="D399" s="0">
        <f>IFERROR(INDEX(lunar_ref!$C:$C,MATCH($A399,lunar_ref!$A:$A,0)),"")</f>
        <v/>
      </c>
      <c r="E399" s="0">
        <f>_xlfn.XLOOKUP($D399,lookup!$A:$A,lookup!$B:$B)</f>
        <v/>
      </c>
      <c r="F399" s="0">
        <f>IF($E399=1,"New",IF($E399=15,"Full",""))</f>
        <v/>
      </c>
      <c r="H399" s="0">
        <f>IF($E399="","",IF(OR($E399=8,$E399=14,$E399=15,$E399=23,$E400=1,$E401=1),"Fast day",""))</f>
        <v/>
      </c>
      <c r="I399" s="0">
        <f>IFERROR(INDEX(lookup!$E:$E,MATCH($C399,lookup!$D:$D,0)),"")</f>
        <v/>
      </c>
      <c r="J399" s="0">
        <f>IF($I399="","",IF(OR($I399=1,$I399=5,$I399=9),IF($K399="","Long fast month","Long fast month (LEAP)"),""))</f>
        <v/>
      </c>
      <c r="K399" s="0">
        <f>IFERROR(IF(INDEX(lookup!$G:$G,MATCH($C399,lookup!$D:$D,0))="LEAP","LEAP MONTH - counts as month "&amp;$I399&amp;", flagged for review",""),"")</f>
        <v/>
      </c>
    </row>
    <row r="400">
      <c r="A400" s="12">
        <f>A399+1</f>
        <v/>
      </c>
      <c r="B400" s="0">
        <f>TEXT(A400,"ddd")</f>
        <v/>
      </c>
      <c r="C400" s="0">
        <f>IFERROR(INDEX(lunar_ref!$B:$B,MATCH($A400,lunar_ref!$A:$A,0)),"")</f>
        <v/>
      </c>
      <c r="D400" s="0">
        <f>IFERROR(INDEX(lunar_ref!$C:$C,MATCH($A400,lunar_ref!$A:$A,0)),"")</f>
        <v/>
      </c>
      <c r="E400" s="0">
        <f>_xlfn.XLOOKUP($D400,lookup!$A:$A,lookup!$B:$B)</f>
        <v/>
      </c>
      <c r="F400" s="0">
        <f>IF($E400=1,"New",IF($E400=15,"Full",""))</f>
        <v/>
      </c>
      <c r="H400" s="0">
        <f>IF($E400="","",IF(OR($E400=8,$E400=14,$E400=15,$E400=23,$E401=1,$E402=1),"Fast day",""))</f>
        <v/>
      </c>
      <c r="I400" s="0">
        <f>IFERROR(INDEX(lookup!$E:$E,MATCH($C400,lookup!$D:$D,0)),"")</f>
        <v/>
      </c>
      <c r="J400" s="0">
        <f>IF($I400="","",IF(OR($I400=1,$I400=5,$I400=9),IF($K400="","Long fast month","Long fast month (LEAP)"),""))</f>
        <v/>
      </c>
      <c r="K400" s="0">
        <f>IFERROR(IF(INDEX(lookup!$G:$G,MATCH($C400,lookup!$D:$D,0))="LEAP","LEAP MONTH - counts as month "&amp;$I400&amp;", flagged for review",""),"")</f>
        <v/>
      </c>
    </row>
    <row r="401">
      <c r="A401" s="12">
        <f>A400+1</f>
        <v/>
      </c>
      <c r="B401" s="0">
        <f>TEXT(A401,"ddd")</f>
        <v/>
      </c>
      <c r="C401" s="0">
        <f>IFERROR(INDEX(lunar_ref!$B:$B,MATCH($A401,lunar_ref!$A:$A,0)),"")</f>
        <v/>
      </c>
      <c r="D401" s="0">
        <f>IFERROR(INDEX(lunar_ref!$C:$C,MATCH($A401,lunar_ref!$A:$A,0)),"")</f>
        <v/>
      </c>
      <c r="E401" s="0">
        <f>_xlfn.XLOOKUP($D401,lookup!$A:$A,lookup!$B:$B)</f>
        <v/>
      </c>
      <c r="F401" s="0">
        <f>IF($E401=1,"New",IF($E401=15,"Full",""))</f>
        <v/>
      </c>
      <c r="H401" s="0">
        <f>IF($E401="","",IF(OR($E401=8,$E401=14,$E401=15,$E401=23,$E402=1,$E403=1),"Fast day",""))</f>
        <v/>
      </c>
      <c r="I401" s="0">
        <f>IFERROR(INDEX(lookup!$E:$E,MATCH($C401,lookup!$D:$D,0)),"")</f>
        <v/>
      </c>
      <c r="J401" s="0">
        <f>IF($I401="","",IF(OR($I401=1,$I401=5,$I401=9),IF($K401="","Long fast month","Long fast month (LEAP)"),""))</f>
        <v/>
      </c>
      <c r="K401" s="0">
        <f>IFERROR(IF(INDEX(lookup!$G:$G,MATCH($C401,lookup!$D:$D,0))="LEAP","LEAP MONTH - counts as month "&amp;$I401&amp;", flagged for review",""),"")</f>
        <v/>
      </c>
    </row>
    <row r="402">
      <c r="A402" s="12">
        <f>A401+1</f>
        <v/>
      </c>
      <c r="B402" s="0">
        <f>TEXT(A402,"ddd")</f>
        <v/>
      </c>
      <c r="C402" s="0">
        <f>IFERROR(INDEX(lunar_ref!$B:$B,MATCH($A402,lunar_ref!$A:$A,0)),"")</f>
        <v/>
      </c>
      <c r="D402" s="0">
        <f>IFERROR(INDEX(lunar_ref!$C:$C,MATCH($A402,lunar_ref!$A:$A,0)),"")</f>
        <v/>
      </c>
      <c r="E402" s="0">
        <f>_xlfn.XLOOKUP($D402,lookup!$A:$A,lookup!$B:$B)</f>
        <v/>
      </c>
      <c r="F402" s="0">
        <f>IF($E402=1,"New",IF($E402=15,"Full",""))</f>
        <v/>
      </c>
      <c r="H402" s="0">
        <f>IF($E402="","",IF(OR($E402=8,$E402=14,$E402=15,$E402=23,$E403=1,$E404=1),"Fast day",""))</f>
        <v/>
      </c>
      <c r="I402" s="0">
        <f>IFERROR(INDEX(lookup!$E:$E,MATCH($C402,lookup!$D:$D,0)),"")</f>
        <v/>
      </c>
      <c r="J402" s="0">
        <f>IF($I402="","",IF(OR($I402=1,$I402=5,$I402=9),IF($K402="","Long fast month","Long fast month (LEAP)"),""))</f>
        <v/>
      </c>
      <c r="K402" s="0">
        <f>IFERROR(IF(INDEX(lookup!$G:$G,MATCH($C402,lookup!$D:$D,0))="LEAP","LEAP MONTH - counts as month "&amp;$I402&amp;", flagged for review",""),"")</f>
        <v/>
      </c>
    </row>
    <row r="403">
      <c r="A403" s="12">
        <f>A402+1</f>
        <v/>
      </c>
      <c r="B403" s="0">
        <f>TEXT(A403,"ddd")</f>
        <v/>
      </c>
      <c r="C403" s="0">
        <f>IFERROR(INDEX(lunar_ref!$B:$B,MATCH($A403,lunar_ref!$A:$A,0)),"")</f>
        <v/>
      </c>
      <c r="D403" s="0">
        <f>IFERROR(INDEX(lunar_ref!$C:$C,MATCH($A403,lunar_ref!$A:$A,0)),"")</f>
        <v/>
      </c>
      <c r="E403" s="0">
        <f>_xlfn.XLOOKUP($D403,lookup!$A:$A,lookup!$B:$B)</f>
        <v/>
      </c>
      <c r="F403" s="0">
        <f>IF($E403=1,"New",IF($E403=15,"Full",""))</f>
        <v/>
      </c>
      <c r="H403" s="0">
        <f>IF($E403="","",IF(OR($E403=8,$E403=14,$E403=15,$E403=23,$E404=1,$E405=1),"Fast day",""))</f>
        <v/>
      </c>
      <c r="I403" s="0">
        <f>IFERROR(INDEX(lookup!$E:$E,MATCH($C403,lookup!$D:$D,0)),"")</f>
        <v/>
      </c>
      <c r="J403" s="0">
        <f>IF($I403="","",IF(OR($I403=1,$I403=5,$I403=9),IF($K403="","Long fast month","Long fast month (LEAP)"),""))</f>
        <v/>
      </c>
      <c r="K403" s="0">
        <f>IFERROR(IF(INDEX(lookup!$G:$G,MATCH($C403,lookup!$D:$D,0))="LEAP","LEAP MONTH - counts as month "&amp;$I403&amp;", flagged for review",""),"")</f>
        <v/>
      </c>
    </row>
    <row r="404">
      <c r="A404" s="12">
        <f>A403+1</f>
        <v/>
      </c>
      <c r="B404" s="0">
        <f>TEXT(A404,"ddd")</f>
        <v/>
      </c>
      <c r="C404" s="0">
        <f>IFERROR(INDEX(lunar_ref!$B:$B,MATCH($A404,lunar_ref!$A:$A,0)),"")</f>
        <v/>
      </c>
      <c r="D404" s="0">
        <f>IFERROR(INDEX(lunar_ref!$C:$C,MATCH($A404,lunar_ref!$A:$A,0)),"")</f>
        <v/>
      </c>
      <c r="E404" s="0">
        <f>_xlfn.XLOOKUP($D404,lookup!$A:$A,lookup!$B:$B)</f>
        <v/>
      </c>
      <c r="F404" s="0">
        <f>IF($E404=1,"New",IF($E404=15,"Full",""))</f>
        <v/>
      </c>
      <c r="H404" s="0">
        <f>IF($E404="","",IF(OR($E404=8,$E404=14,$E404=15,$E404=23,$E405=1,$E406=1),"Fast day",""))</f>
        <v/>
      </c>
      <c r="I404" s="0">
        <f>IFERROR(INDEX(lookup!$E:$E,MATCH($C404,lookup!$D:$D,0)),"")</f>
        <v/>
      </c>
      <c r="J404" s="0">
        <f>IF($I404="","",IF(OR($I404=1,$I404=5,$I404=9),IF($K404="","Long fast month","Long fast month (LEAP)"),""))</f>
        <v/>
      </c>
      <c r="K404" s="0">
        <f>IFERROR(IF(INDEX(lookup!$G:$G,MATCH($C404,lookup!$D:$D,0))="LEAP","LEAP MONTH - counts as month "&amp;$I404&amp;", flagged for review",""),"")</f>
        <v/>
      </c>
    </row>
    <row r="405">
      <c r="A405" s="12">
        <f>A404+1</f>
        <v/>
      </c>
      <c r="B405" s="0">
        <f>TEXT(A405,"ddd")</f>
        <v/>
      </c>
      <c r="C405" s="0">
        <f>IFERROR(INDEX(lunar_ref!$B:$B,MATCH($A405,lunar_ref!$A:$A,0)),"")</f>
        <v/>
      </c>
      <c r="D405" s="0">
        <f>IFERROR(INDEX(lunar_ref!$C:$C,MATCH($A405,lunar_ref!$A:$A,0)),"")</f>
        <v/>
      </c>
      <c r="E405" s="0">
        <f>_xlfn.XLOOKUP($D405,lookup!$A:$A,lookup!$B:$B)</f>
        <v/>
      </c>
      <c r="F405" s="0">
        <f>IF($E405=1,"New",IF($E405=15,"Full",""))</f>
        <v/>
      </c>
      <c r="H405" s="0">
        <f>IF($E405="","",IF(OR($E405=8,$E405=14,$E405=15,$E405=23,$E406=1,$E407=1),"Fast day",""))</f>
        <v/>
      </c>
      <c r="I405" s="0">
        <f>IFERROR(INDEX(lookup!$E:$E,MATCH($C405,lookup!$D:$D,0)),"")</f>
        <v/>
      </c>
      <c r="J405" s="0">
        <f>IF($I405="","",IF(OR($I405=1,$I405=5,$I405=9),IF($K405="","Long fast month","Long fast month (LEAP)"),""))</f>
        <v/>
      </c>
      <c r="K405" s="0">
        <f>IFERROR(IF(INDEX(lookup!$G:$G,MATCH($C405,lookup!$D:$D,0))="LEAP","LEAP MONTH - counts as month "&amp;$I405&amp;", flagged for review",""),"")</f>
        <v/>
      </c>
    </row>
    <row r="406">
      <c r="A406" s="12">
        <f>A405+1</f>
        <v/>
      </c>
      <c r="B406" s="0">
        <f>TEXT(A406,"ddd")</f>
        <v/>
      </c>
      <c r="C406" s="0">
        <f>IFERROR(INDEX(lunar_ref!$B:$B,MATCH($A406,lunar_ref!$A:$A,0)),"")</f>
        <v/>
      </c>
      <c r="D406" s="0">
        <f>IFERROR(INDEX(lunar_ref!$C:$C,MATCH($A406,lunar_ref!$A:$A,0)),"")</f>
        <v/>
      </c>
      <c r="E406" s="0">
        <f>_xlfn.XLOOKUP($D406,lookup!$A:$A,lookup!$B:$B)</f>
        <v/>
      </c>
      <c r="F406" s="0">
        <f>IF($E406=1,"New",IF($E406=15,"Full",""))</f>
        <v/>
      </c>
      <c r="H406" s="0">
        <f>IF($E406="","",IF(OR($E406=8,$E406=14,$E406=15,$E406=23,$E407=1,$E408=1),"Fast day",""))</f>
        <v/>
      </c>
      <c r="I406" s="0">
        <f>IFERROR(INDEX(lookup!$E:$E,MATCH($C406,lookup!$D:$D,0)),"")</f>
        <v/>
      </c>
      <c r="J406" s="0">
        <f>IF($I406="","",IF(OR($I406=1,$I406=5,$I406=9),IF($K406="","Long fast month","Long fast month (LEAP)"),""))</f>
        <v/>
      </c>
      <c r="K406" s="0">
        <f>IFERROR(IF(INDEX(lookup!$G:$G,MATCH($C406,lookup!$D:$D,0))="LEAP","LEAP MONTH - counts as month "&amp;$I406&amp;", flagged for review",""),"")</f>
        <v/>
      </c>
    </row>
    <row r="407">
      <c r="A407" s="12">
        <f>A406+1</f>
        <v/>
      </c>
      <c r="B407" s="0">
        <f>TEXT(A407,"ddd")</f>
        <v/>
      </c>
      <c r="C407" s="0">
        <f>IFERROR(INDEX(lunar_ref!$B:$B,MATCH($A407,lunar_ref!$A:$A,0)),"")</f>
        <v/>
      </c>
      <c r="D407" s="0">
        <f>IFERROR(INDEX(lunar_ref!$C:$C,MATCH($A407,lunar_ref!$A:$A,0)),"")</f>
        <v/>
      </c>
      <c r="E407" s="0">
        <f>_xlfn.XLOOKUP($D407,lookup!$A:$A,lookup!$B:$B)</f>
        <v/>
      </c>
      <c r="F407" s="0">
        <f>IF($E407=1,"New",IF($E407=15,"Full",""))</f>
        <v/>
      </c>
      <c r="H407" s="0">
        <f>IF($E407="","",IF(OR($E407=8,$E407=14,$E407=15,$E407=23,$E408=1,$E409=1),"Fast day",""))</f>
        <v/>
      </c>
      <c r="I407" s="0">
        <f>IFERROR(INDEX(lookup!$E:$E,MATCH($C407,lookup!$D:$D,0)),"")</f>
        <v/>
      </c>
      <c r="J407" s="0">
        <f>IF($I407="","",IF(OR($I407=1,$I407=5,$I407=9),IF($K407="","Long fast month","Long fast month (LEAP)"),""))</f>
        <v/>
      </c>
      <c r="K407" s="0">
        <f>IFERROR(IF(INDEX(lookup!$G:$G,MATCH($C407,lookup!$D:$D,0))="LEAP","LEAP MONTH - counts as month "&amp;$I407&amp;", flagged for review",""),"")</f>
        <v/>
      </c>
    </row>
    <row r="408">
      <c r="A408" s="12">
        <f>A407+1</f>
        <v/>
      </c>
      <c r="B408" s="0">
        <f>TEXT(A408,"ddd")</f>
        <v/>
      </c>
      <c r="C408" s="0">
        <f>IFERROR(INDEX(lunar_ref!$B:$B,MATCH($A408,lunar_ref!$A:$A,0)),"")</f>
        <v/>
      </c>
      <c r="D408" s="0">
        <f>IFERROR(INDEX(lunar_ref!$C:$C,MATCH($A408,lunar_ref!$A:$A,0)),"")</f>
        <v/>
      </c>
      <c r="E408" s="0">
        <f>_xlfn.XLOOKUP($D408,lookup!$A:$A,lookup!$B:$B)</f>
        <v/>
      </c>
      <c r="F408" s="0">
        <f>IF($E408=1,"New",IF($E408=15,"Full",""))</f>
        <v/>
      </c>
      <c r="H408" s="0">
        <f>IF($E408="","",IF(OR($E408=8,$E408=14,$E408=15,$E408=23,$E409=1,$E410=1),"Fast day",""))</f>
        <v/>
      </c>
      <c r="I408" s="0">
        <f>IFERROR(INDEX(lookup!$E:$E,MATCH($C408,lookup!$D:$D,0)),"")</f>
        <v/>
      </c>
      <c r="J408" s="0">
        <f>IF($I408="","",IF(OR($I408=1,$I408=5,$I408=9),IF($K408="","Long fast month","Long fast month (LEAP)"),""))</f>
        <v/>
      </c>
      <c r="K408" s="0">
        <f>IFERROR(IF(INDEX(lookup!$G:$G,MATCH($C408,lookup!$D:$D,0))="LEAP","LEAP MONTH - counts as month "&amp;$I408&amp;", flagged for review",""),"")</f>
        <v/>
      </c>
    </row>
    <row r="409">
      <c r="A409" s="12">
        <f>A408+1</f>
        <v/>
      </c>
      <c r="B409" s="0">
        <f>TEXT(A409,"ddd")</f>
        <v/>
      </c>
      <c r="C409" s="0">
        <f>IFERROR(INDEX(lunar_ref!$B:$B,MATCH($A409,lunar_ref!$A:$A,0)),"")</f>
        <v/>
      </c>
      <c r="D409" s="0">
        <f>IFERROR(INDEX(lunar_ref!$C:$C,MATCH($A409,lunar_ref!$A:$A,0)),"")</f>
        <v/>
      </c>
      <c r="E409" s="0">
        <f>_xlfn.XLOOKUP($D409,lookup!$A:$A,lookup!$B:$B)</f>
        <v/>
      </c>
      <c r="F409" s="0">
        <f>IF($E409=1,"New",IF($E409=15,"Full",""))</f>
        <v/>
      </c>
      <c r="H409" s="0">
        <f>IF($E409="","",IF(OR($E409=8,$E409=14,$E409=15,$E409=23,$E410=1,$E411=1),"Fast day",""))</f>
        <v/>
      </c>
      <c r="I409" s="0">
        <f>IFERROR(INDEX(lookup!$E:$E,MATCH($C409,lookup!$D:$D,0)),"")</f>
        <v/>
      </c>
      <c r="J409" s="0">
        <f>IF($I409="","",IF(OR($I409=1,$I409=5,$I409=9),IF($K409="","Long fast month","Long fast month (LEAP)"),""))</f>
        <v/>
      </c>
      <c r="K409" s="0">
        <f>IFERROR(IF(INDEX(lookup!$G:$G,MATCH($C409,lookup!$D:$D,0))="LEAP","LEAP MONTH - counts as month "&amp;$I409&amp;", flagged for review",""),"")</f>
        <v/>
      </c>
    </row>
    <row r="410">
      <c r="A410" s="12">
        <f>A409+1</f>
        <v/>
      </c>
      <c r="B410" s="0">
        <f>TEXT(A410,"ddd")</f>
        <v/>
      </c>
      <c r="C410" s="0">
        <f>IFERROR(INDEX(lunar_ref!$B:$B,MATCH($A410,lunar_ref!$A:$A,0)),"")</f>
        <v/>
      </c>
      <c r="D410" s="0">
        <f>IFERROR(INDEX(lunar_ref!$C:$C,MATCH($A410,lunar_ref!$A:$A,0)),"")</f>
        <v/>
      </c>
      <c r="E410" s="0">
        <f>_xlfn.XLOOKUP($D410,lookup!$A:$A,lookup!$B:$B)</f>
        <v/>
      </c>
      <c r="F410" s="0">
        <f>IF($E410=1,"New",IF($E410=15,"Full",""))</f>
        <v/>
      </c>
      <c r="H410" s="0">
        <f>IF($E410="","",IF(OR($E410=8,$E410=14,$E410=15,$E410=23,$E411=1,$E412=1),"Fast day",""))</f>
        <v/>
      </c>
      <c r="I410" s="0">
        <f>IFERROR(INDEX(lookup!$E:$E,MATCH($C410,lookup!$D:$D,0)),"")</f>
        <v/>
      </c>
      <c r="J410" s="0">
        <f>IF($I410="","",IF(OR($I410=1,$I410=5,$I410=9),IF($K410="","Long fast month","Long fast month (LEAP)"),""))</f>
        <v/>
      </c>
      <c r="K410" s="0">
        <f>IFERROR(IF(INDEX(lookup!$G:$G,MATCH($C410,lookup!$D:$D,0))="LEAP","LEAP MONTH - counts as month "&amp;$I410&amp;", flagged for review",""),"")</f>
        <v/>
      </c>
    </row>
    <row r="411">
      <c r="A411" s="12">
        <f>A410+1</f>
        <v/>
      </c>
      <c r="B411" s="0">
        <f>TEXT(A411,"ddd")</f>
        <v/>
      </c>
      <c r="C411" s="0">
        <f>IFERROR(INDEX(lunar_ref!$B:$B,MATCH($A411,lunar_ref!$A:$A,0)),"")</f>
        <v/>
      </c>
      <c r="D411" s="0">
        <f>IFERROR(INDEX(lunar_ref!$C:$C,MATCH($A411,lunar_ref!$A:$A,0)),"")</f>
        <v/>
      </c>
      <c r="E411" s="0">
        <f>_xlfn.XLOOKUP($D411,lookup!$A:$A,lookup!$B:$B)</f>
        <v/>
      </c>
      <c r="F411" s="0">
        <f>IF($E411=1,"New",IF($E411=15,"Full",""))</f>
        <v/>
      </c>
      <c r="H411" s="0">
        <f>IF($E411="","",IF(OR($E411=8,$E411=14,$E411=15,$E411=23,$E412=1,$E413=1),"Fast day",""))</f>
        <v/>
      </c>
      <c r="I411" s="0">
        <f>IFERROR(INDEX(lookup!$E:$E,MATCH($C411,lookup!$D:$D,0)),"")</f>
        <v/>
      </c>
      <c r="J411" s="0">
        <f>IF($I411="","",IF(OR($I411=1,$I411=5,$I411=9),IF($K411="","Long fast month","Long fast month (LEAP)"),""))</f>
        <v/>
      </c>
      <c r="K411" s="0">
        <f>IFERROR(IF(INDEX(lookup!$G:$G,MATCH($C411,lookup!$D:$D,0))="LEAP","LEAP MONTH - counts as month "&amp;$I411&amp;", flagged for review",""),"")</f>
        <v/>
      </c>
    </row>
    <row r="412">
      <c r="A412" s="12">
        <f>A411+1</f>
        <v/>
      </c>
      <c r="B412" s="0">
        <f>TEXT(A412,"ddd")</f>
        <v/>
      </c>
      <c r="C412" s="0">
        <f>IFERROR(INDEX(lunar_ref!$B:$B,MATCH($A412,lunar_ref!$A:$A,0)),"")</f>
        <v/>
      </c>
      <c r="D412" s="0">
        <f>IFERROR(INDEX(lunar_ref!$C:$C,MATCH($A412,lunar_ref!$A:$A,0)),"")</f>
        <v/>
      </c>
      <c r="E412" s="0">
        <f>_xlfn.XLOOKUP($D412,lookup!$A:$A,lookup!$B:$B)</f>
        <v/>
      </c>
      <c r="F412" s="0">
        <f>IF($E412=1,"New",IF($E412=15,"Full",""))</f>
        <v/>
      </c>
      <c r="H412" s="0">
        <f>IF($E412="","",IF(OR($E412=8,$E412=14,$E412=15,$E412=23,$E413=1,$E414=1),"Fast day",""))</f>
        <v/>
      </c>
      <c r="I412" s="0">
        <f>IFERROR(INDEX(lookup!$E:$E,MATCH($C412,lookup!$D:$D,0)),"")</f>
        <v/>
      </c>
      <c r="J412" s="0">
        <f>IF($I412="","",IF(OR($I412=1,$I412=5,$I412=9),IF($K412="","Long fast month","Long fast month (LEAP)"),""))</f>
        <v/>
      </c>
      <c r="K412" s="0">
        <f>IFERROR(IF(INDEX(lookup!$G:$G,MATCH($C412,lookup!$D:$D,0))="LEAP","LEAP MONTH - counts as month "&amp;$I412&amp;", flagged for review",""),"")</f>
        <v/>
      </c>
    </row>
    <row r="413">
      <c r="A413" s="12">
        <f>A412+1</f>
        <v/>
      </c>
      <c r="B413" s="0">
        <f>TEXT(A413,"ddd")</f>
        <v/>
      </c>
      <c r="C413" s="0">
        <f>IFERROR(INDEX(lunar_ref!$B:$B,MATCH($A413,lunar_ref!$A:$A,0)),"")</f>
        <v/>
      </c>
      <c r="D413" s="0">
        <f>IFERROR(INDEX(lunar_ref!$C:$C,MATCH($A413,lunar_ref!$A:$A,0)),"")</f>
        <v/>
      </c>
      <c r="E413" s="0">
        <f>_xlfn.XLOOKUP($D413,lookup!$A:$A,lookup!$B:$B)</f>
        <v/>
      </c>
      <c r="F413" s="0">
        <f>IF($E413=1,"New",IF($E413=15,"Full",""))</f>
        <v/>
      </c>
      <c r="H413" s="0">
        <f>IF($E413="","",IF(OR($E413=8,$E413=14,$E413=15,$E413=23,$E414=1,$E415=1),"Fast day",""))</f>
        <v/>
      </c>
      <c r="I413" s="0">
        <f>IFERROR(INDEX(lookup!$E:$E,MATCH($C413,lookup!$D:$D,0)),"")</f>
        <v/>
      </c>
      <c r="J413" s="0">
        <f>IF($I413="","",IF(OR($I413=1,$I413=5,$I413=9),IF($K413="","Long fast month","Long fast month (LEAP)"),""))</f>
        <v/>
      </c>
      <c r="K413" s="0">
        <f>IFERROR(IF(INDEX(lookup!$G:$G,MATCH($C413,lookup!$D:$D,0))="LEAP","LEAP MONTH - counts as month "&amp;$I413&amp;", flagged for review",""),"")</f>
        <v/>
      </c>
    </row>
    <row r="414">
      <c r="A414" s="12">
        <f>A413+1</f>
        <v/>
      </c>
      <c r="B414" s="0">
        <f>TEXT(A414,"ddd")</f>
        <v/>
      </c>
      <c r="C414" s="0">
        <f>IFERROR(INDEX(lunar_ref!$B:$B,MATCH($A414,lunar_ref!$A:$A,0)),"")</f>
        <v/>
      </c>
      <c r="D414" s="0">
        <f>IFERROR(INDEX(lunar_ref!$C:$C,MATCH($A414,lunar_ref!$A:$A,0)),"")</f>
        <v/>
      </c>
      <c r="E414" s="0">
        <f>_xlfn.XLOOKUP($D414,lookup!$A:$A,lookup!$B:$B)</f>
        <v/>
      </c>
      <c r="F414" s="0">
        <f>IF($E414=1,"New",IF($E414=15,"Full",""))</f>
        <v/>
      </c>
      <c r="H414" s="0">
        <f>IF($E414="","",IF(OR($E414=8,$E414=14,$E414=15,$E414=23,$E415=1,$E416=1),"Fast day",""))</f>
        <v/>
      </c>
      <c r="I414" s="0">
        <f>IFERROR(INDEX(lookup!$E:$E,MATCH($C414,lookup!$D:$D,0)),"")</f>
        <v/>
      </c>
      <c r="J414" s="0">
        <f>IF($I414="","",IF(OR($I414=1,$I414=5,$I414=9),IF($K414="","Long fast month","Long fast month (LEAP)"),""))</f>
        <v/>
      </c>
      <c r="K414" s="0">
        <f>IFERROR(IF(INDEX(lookup!$G:$G,MATCH($C414,lookup!$D:$D,0))="LEAP","LEAP MONTH - counts as month "&amp;$I414&amp;", flagged for review",""),"")</f>
        <v/>
      </c>
    </row>
    <row r="415">
      <c r="A415" s="12">
        <f>A414+1</f>
        <v/>
      </c>
      <c r="B415" s="0">
        <f>TEXT(A415,"ddd")</f>
        <v/>
      </c>
      <c r="C415" s="0">
        <f>IFERROR(INDEX(lunar_ref!$B:$B,MATCH($A415,lunar_ref!$A:$A,0)),"")</f>
        <v/>
      </c>
      <c r="D415" s="0">
        <f>IFERROR(INDEX(lunar_ref!$C:$C,MATCH($A415,lunar_ref!$A:$A,0)),"")</f>
        <v/>
      </c>
      <c r="E415" s="0">
        <f>_xlfn.XLOOKUP($D415,lookup!$A:$A,lookup!$B:$B)</f>
        <v/>
      </c>
      <c r="F415" s="0">
        <f>IF($E415=1,"New",IF($E415=15,"Full",""))</f>
        <v/>
      </c>
      <c r="H415" s="0">
        <f>IF($E415="","",IF(OR($E415=8,$E415=14,$E415=15,$E415=23,$E416=1,$E417=1),"Fast day",""))</f>
        <v/>
      </c>
      <c r="I415" s="0">
        <f>IFERROR(INDEX(lookup!$E:$E,MATCH($C415,lookup!$D:$D,0)),"")</f>
        <v/>
      </c>
      <c r="J415" s="0">
        <f>IF($I415="","",IF(OR($I415=1,$I415=5,$I415=9),IF($K415="","Long fast month","Long fast month (LEAP)"),""))</f>
        <v/>
      </c>
      <c r="K415" s="0">
        <f>IFERROR(IF(INDEX(lookup!$G:$G,MATCH($C415,lookup!$D:$D,0))="LEAP","LEAP MONTH - counts as month "&amp;$I415&amp;", flagged for review",""),"")</f>
        <v/>
      </c>
    </row>
    <row r="416">
      <c r="A416" s="12">
        <f>A415+1</f>
        <v/>
      </c>
      <c r="B416" s="0">
        <f>TEXT(A416,"ddd")</f>
        <v/>
      </c>
      <c r="C416" s="0">
        <f>IFERROR(INDEX(lunar_ref!$B:$B,MATCH($A416,lunar_ref!$A:$A,0)),"")</f>
        <v/>
      </c>
      <c r="D416" s="0">
        <f>IFERROR(INDEX(lunar_ref!$C:$C,MATCH($A416,lunar_ref!$A:$A,0)),"")</f>
        <v/>
      </c>
      <c r="E416" s="0">
        <f>_xlfn.XLOOKUP($D416,lookup!$A:$A,lookup!$B:$B)</f>
        <v/>
      </c>
      <c r="F416" s="0">
        <f>IF($E416=1,"New",IF($E416=15,"Full",""))</f>
        <v/>
      </c>
      <c r="H416" s="0">
        <f>IF($E416="","",IF(OR($E416=8,$E416=14,$E416=15,$E416=23,$E417=1,$E418=1),"Fast day",""))</f>
        <v/>
      </c>
      <c r="I416" s="0">
        <f>IFERROR(INDEX(lookup!$E:$E,MATCH($C416,lookup!$D:$D,0)),"")</f>
        <v/>
      </c>
      <c r="J416" s="0">
        <f>IF($I416="","",IF(OR($I416=1,$I416=5,$I416=9),IF($K416="","Long fast month","Long fast month (LEAP)"),""))</f>
        <v/>
      </c>
      <c r="K416" s="0">
        <f>IFERROR(IF(INDEX(lookup!$G:$G,MATCH($C416,lookup!$D:$D,0))="LEAP","LEAP MONTH - counts as month "&amp;$I416&amp;", flagged for review",""),"")</f>
        <v/>
      </c>
    </row>
    <row r="417">
      <c r="A417" s="12">
        <f>A416+1</f>
        <v/>
      </c>
      <c r="B417" s="0">
        <f>TEXT(A417,"ddd")</f>
        <v/>
      </c>
      <c r="C417" s="0">
        <f>IFERROR(INDEX(lunar_ref!$B:$B,MATCH($A417,lunar_ref!$A:$A,0)),"")</f>
        <v/>
      </c>
      <c r="D417" s="0">
        <f>IFERROR(INDEX(lunar_ref!$C:$C,MATCH($A417,lunar_ref!$A:$A,0)),"")</f>
        <v/>
      </c>
      <c r="E417" s="0">
        <f>_xlfn.XLOOKUP($D417,lookup!$A:$A,lookup!$B:$B)</f>
        <v/>
      </c>
      <c r="F417" s="0">
        <f>IF($E417=1,"New",IF($E417=15,"Full",""))</f>
        <v/>
      </c>
      <c r="H417" s="0">
        <f>IF($E417="","",IF(OR($E417=8,$E417=14,$E417=15,$E417=23,$E418=1,$E419=1),"Fast day",""))</f>
        <v/>
      </c>
      <c r="I417" s="0">
        <f>IFERROR(INDEX(lookup!$E:$E,MATCH($C417,lookup!$D:$D,0)),"")</f>
        <v/>
      </c>
      <c r="J417" s="0">
        <f>IF($I417="","",IF(OR($I417=1,$I417=5,$I417=9),IF($K417="","Long fast month","Long fast month (LEAP)"),""))</f>
        <v/>
      </c>
      <c r="K417" s="0">
        <f>IFERROR(IF(INDEX(lookup!$G:$G,MATCH($C417,lookup!$D:$D,0))="LEAP","LEAP MONTH - counts as month "&amp;$I417&amp;", flagged for review",""),"")</f>
        <v/>
      </c>
    </row>
    <row r="418">
      <c r="A418" s="12">
        <f>A417+1</f>
        <v/>
      </c>
      <c r="B418" s="0">
        <f>TEXT(A418,"ddd")</f>
        <v/>
      </c>
      <c r="C418" s="0">
        <f>IFERROR(INDEX(lunar_ref!$B:$B,MATCH($A418,lunar_ref!$A:$A,0)),"")</f>
        <v/>
      </c>
      <c r="D418" s="0">
        <f>IFERROR(INDEX(lunar_ref!$C:$C,MATCH($A418,lunar_ref!$A:$A,0)),"")</f>
        <v/>
      </c>
      <c r="E418" s="0">
        <f>_xlfn.XLOOKUP($D418,lookup!$A:$A,lookup!$B:$B)</f>
        <v/>
      </c>
      <c r="F418" s="0">
        <f>IF($E418=1,"New",IF($E418=15,"Full",""))</f>
        <v/>
      </c>
      <c r="H418" s="0">
        <f>IF($E418="","",IF(OR($E418=8,$E418=14,$E418=15,$E418=23,$E419=1,$E420=1),"Fast day",""))</f>
        <v/>
      </c>
      <c r="I418" s="0">
        <f>IFERROR(INDEX(lookup!$E:$E,MATCH($C418,lookup!$D:$D,0)),"")</f>
        <v/>
      </c>
      <c r="J418" s="0">
        <f>IF($I418="","",IF(OR($I418=1,$I418=5,$I418=9),IF($K418="","Long fast month","Long fast month (LEAP)"),""))</f>
        <v/>
      </c>
      <c r="K418" s="0">
        <f>IFERROR(IF(INDEX(lookup!$G:$G,MATCH($C418,lookup!$D:$D,0))="LEAP","LEAP MONTH - counts as month "&amp;$I418&amp;", flagged for review",""),"")</f>
        <v/>
      </c>
    </row>
    <row r="419">
      <c r="A419" s="12">
        <f>A418+1</f>
        <v/>
      </c>
      <c r="B419" s="0">
        <f>TEXT(A419,"ddd")</f>
        <v/>
      </c>
      <c r="C419" s="0">
        <f>IFERROR(INDEX(lunar_ref!$B:$B,MATCH($A419,lunar_ref!$A:$A,0)),"")</f>
        <v/>
      </c>
      <c r="D419" s="0">
        <f>IFERROR(INDEX(lunar_ref!$C:$C,MATCH($A419,lunar_ref!$A:$A,0)),"")</f>
        <v/>
      </c>
      <c r="E419" s="0">
        <f>_xlfn.XLOOKUP($D419,lookup!$A:$A,lookup!$B:$B)</f>
        <v/>
      </c>
      <c r="F419" s="0">
        <f>IF($E419=1,"New",IF($E419=15,"Full",""))</f>
        <v/>
      </c>
      <c r="H419" s="0">
        <f>IF($E419="","",IF(OR($E419=8,$E419=14,$E419=15,$E419=23,$E420=1,$E421=1),"Fast day",""))</f>
        <v/>
      </c>
      <c r="I419" s="0">
        <f>IFERROR(INDEX(lookup!$E:$E,MATCH($C419,lookup!$D:$D,0)),"")</f>
        <v/>
      </c>
      <c r="J419" s="0">
        <f>IF($I419="","",IF(OR($I419=1,$I419=5,$I419=9),IF($K419="","Long fast month","Long fast month (LEAP)"),""))</f>
        <v/>
      </c>
      <c r="K419" s="0">
        <f>IFERROR(IF(INDEX(lookup!$G:$G,MATCH($C419,lookup!$D:$D,0))="LEAP","LEAP MONTH - counts as month "&amp;$I419&amp;", flagged for review",""),"")</f>
        <v/>
      </c>
    </row>
    <row r="420">
      <c r="A420" s="12">
        <f>A419+1</f>
        <v/>
      </c>
      <c r="B420" s="0">
        <f>TEXT(A420,"ddd")</f>
        <v/>
      </c>
      <c r="C420" s="0">
        <f>IFERROR(INDEX(lunar_ref!$B:$B,MATCH($A420,lunar_ref!$A:$A,0)),"")</f>
        <v/>
      </c>
      <c r="D420" s="0">
        <f>IFERROR(INDEX(lunar_ref!$C:$C,MATCH($A420,lunar_ref!$A:$A,0)),"")</f>
        <v/>
      </c>
      <c r="E420" s="0">
        <f>_xlfn.XLOOKUP($D420,lookup!$A:$A,lookup!$B:$B)</f>
        <v/>
      </c>
      <c r="F420" s="0">
        <f>IF($E420=1,"New",IF($E420=15,"Full",""))</f>
        <v/>
      </c>
      <c r="H420" s="0">
        <f>IF($E420="","",IF(OR($E420=8,$E420=14,$E420=15,$E420=23,$E421=1,$E422=1),"Fast day",""))</f>
        <v/>
      </c>
      <c r="I420" s="0">
        <f>IFERROR(INDEX(lookup!$E:$E,MATCH($C420,lookup!$D:$D,0)),"")</f>
        <v/>
      </c>
      <c r="J420" s="0">
        <f>IF($I420="","",IF(OR($I420=1,$I420=5,$I420=9),IF($K420="","Long fast month","Long fast month (LEAP)"),""))</f>
        <v/>
      </c>
      <c r="K420" s="0">
        <f>IFERROR(IF(INDEX(lookup!$G:$G,MATCH($C420,lookup!$D:$D,0))="LEAP","LEAP MONTH - counts as month "&amp;$I420&amp;", flagged for review",""),"")</f>
        <v/>
      </c>
    </row>
    <row r="421">
      <c r="A421" s="12">
        <f>A420+1</f>
        <v/>
      </c>
      <c r="B421" s="0">
        <f>TEXT(A421,"ddd")</f>
        <v/>
      </c>
      <c r="C421" s="0">
        <f>IFERROR(INDEX(lunar_ref!$B:$B,MATCH($A421,lunar_ref!$A:$A,0)),"")</f>
        <v/>
      </c>
      <c r="D421" s="0">
        <f>IFERROR(INDEX(lunar_ref!$C:$C,MATCH($A421,lunar_ref!$A:$A,0)),"")</f>
        <v/>
      </c>
      <c r="E421" s="0">
        <f>_xlfn.XLOOKUP($D421,lookup!$A:$A,lookup!$B:$B)</f>
        <v/>
      </c>
      <c r="F421" s="0">
        <f>IF($E421=1,"New",IF($E421=15,"Full",""))</f>
        <v/>
      </c>
      <c r="H421" s="0">
        <f>IF($E421="","",IF(OR($E421=8,$E421=14,$E421=15,$E421=23,$E422=1,$E423=1),"Fast day",""))</f>
        <v/>
      </c>
      <c r="I421" s="0">
        <f>IFERROR(INDEX(lookup!$E:$E,MATCH($C421,lookup!$D:$D,0)),"")</f>
        <v/>
      </c>
      <c r="J421" s="0">
        <f>IF($I421="","",IF(OR($I421=1,$I421=5,$I421=9),IF($K421="","Long fast month","Long fast month (LEAP)"),""))</f>
        <v/>
      </c>
      <c r="K421" s="0">
        <f>IFERROR(IF(INDEX(lookup!$G:$G,MATCH($C421,lookup!$D:$D,0))="LEAP","LEAP MONTH - counts as month "&amp;$I421&amp;", flagged for review",""),"")</f>
        <v/>
      </c>
    </row>
    <row r="422">
      <c r="A422" s="12">
        <f>A421+1</f>
        <v/>
      </c>
      <c r="B422" s="0">
        <f>TEXT(A422,"ddd")</f>
        <v/>
      </c>
      <c r="C422" s="0">
        <f>IFERROR(INDEX(lunar_ref!$B:$B,MATCH($A422,lunar_ref!$A:$A,0)),"")</f>
        <v/>
      </c>
      <c r="D422" s="0">
        <f>IFERROR(INDEX(lunar_ref!$C:$C,MATCH($A422,lunar_ref!$A:$A,0)),"")</f>
        <v/>
      </c>
      <c r="E422" s="0">
        <f>_xlfn.XLOOKUP($D422,lookup!$A:$A,lookup!$B:$B)</f>
        <v/>
      </c>
      <c r="F422" s="0">
        <f>IF($E422=1,"New",IF($E422=15,"Full",""))</f>
        <v/>
      </c>
      <c r="H422" s="0">
        <f>IF($E422="","",IF(OR($E422=8,$E422=14,$E422=15,$E422=23,$E423=1,$E424=1),"Fast day",""))</f>
        <v/>
      </c>
      <c r="I422" s="0">
        <f>IFERROR(INDEX(lookup!$E:$E,MATCH($C422,lookup!$D:$D,0)),"")</f>
        <v/>
      </c>
      <c r="J422" s="0">
        <f>IF($I422="","",IF(OR($I422=1,$I422=5,$I422=9),IF($K422="","Long fast month","Long fast month (LEAP)"),""))</f>
        <v/>
      </c>
      <c r="K422" s="0">
        <f>IFERROR(IF(INDEX(lookup!$G:$G,MATCH($C422,lookup!$D:$D,0))="LEAP","LEAP MONTH - counts as month "&amp;$I422&amp;", flagged for review",""),"")</f>
        <v/>
      </c>
    </row>
    <row r="423">
      <c r="A423" s="12">
        <f>A422+1</f>
        <v/>
      </c>
      <c r="B423" s="0">
        <f>TEXT(A423,"ddd")</f>
        <v/>
      </c>
      <c r="C423" s="0">
        <f>IFERROR(INDEX(lunar_ref!$B:$B,MATCH($A423,lunar_ref!$A:$A,0)),"")</f>
        <v/>
      </c>
      <c r="D423" s="0">
        <f>IFERROR(INDEX(lunar_ref!$C:$C,MATCH($A423,lunar_ref!$A:$A,0)),"")</f>
        <v/>
      </c>
      <c r="E423" s="0">
        <f>_xlfn.XLOOKUP($D423,lookup!$A:$A,lookup!$B:$B)</f>
        <v/>
      </c>
      <c r="F423" s="0">
        <f>IF($E423=1,"New",IF($E423=15,"Full",""))</f>
        <v/>
      </c>
      <c r="H423" s="0">
        <f>IF($E423="","",IF(OR($E423=8,$E423=14,$E423=15,$E423=23,$E424=1,$E425=1),"Fast day",""))</f>
        <v/>
      </c>
      <c r="I423" s="0">
        <f>IFERROR(INDEX(lookup!$E:$E,MATCH($C423,lookup!$D:$D,0)),"")</f>
        <v/>
      </c>
      <c r="J423" s="0">
        <f>IF($I423="","",IF(OR($I423=1,$I423=5,$I423=9),IF($K423="","Long fast month","Long fast month (LEAP)"),""))</f>
        <v/>
      </c>
      <c r="K423" s="0">
        <f>IFERROR(IF(INDEX(lookup!$G:$G,MATCH($C423,lookup!$D:$D,0))="LEAP","LEAP MONTH - counts as month "&amp;$I423&amp;", flagged for review",""),"")</f>
        <v/>
      </c>
    </row>
    <row r="424">
      <c r="A424" s="12">
        <f>A423+1</f>
        <v/>
      </c>
      <c r="B424" s="0">
        <f>TEXT(A424,"ddd")</f>
        <v/>
      </c>
      <c r="C424" s="0">
        <f>IFERROR(INDEX(lunar_ref!$B:$B,MATCH($A424,lunar_ref!$A:$A,0)),"")</f>
        <v/>
      </c>
      <c r="D424" s="0">
        <f>IFERROR(INDEX(lunar_ref!$C:$C,MATCH($A424,lunar_ref!$A:$A,0)),"")</f>
        <v/>
      </c>
      <c r="E424" s="0">
        <f>_xlfn.XLOOKUP($D424,lookup!$A:$A,lookup!$B:$B)</f>
        <v/>
      </c>
      <c r="F424" s="0">
        <f>IF($E424=1,"New",IF($E424=15,"Full",""))</f>
        <v/>
      </c>
      <c r="H424" s="0">
        <f>IF($E424="","",IF(OR($E424=8,$E424=14,$E424=15,$E424=23,$E425=1,$E426=1),"Fast day",""))</f>
        <v/>
      </c>
      <c r="I424" s="0">
        <f>IFERROR(INDEX(lookup!$E:$E,MATCH($C424,lookup!$D:$D,0)),"")</f>
        <v/>
      </c>
      <c r="J424" s="0">
        <f>IF($I424="","",IF(OR($I424=1,$I424=5,$I424=9),IF($K424="","Long fast month","Long fast month (LEAP)"),""))</f>
        <v/>
      </c>
      <c r="K424" s="0">
        <f>IFERROR(IF(INDEX(lookup!$G:$G,MATCH($C424,lookup!$D:$D,0))="LEAP","LEAP MONTH - counts as month "&amp;$I424&amp;", flagged for review",""),"")</f>
        <v/>
      </c>
    </row>
    <row r="425">
      <c r="A425" s="12">
        <f>A424+1</f>
        <v/>
      </c>
      <c r="B425" s="0">
        <f>TEXT(A425,"ddd")</f>
        <v/>
      </c>
      <c r="C425" s="0">
        <f>IFERROR(INDEX(lunar_ref!$B:$B,MATCH($A425,lunar_ref!$A:$A,0)),"")</f>
        <v/>
      </c>
      <c r="D425" s="0">
        <f>IFERROR(INDEX(lunar_ref!$C:$C,MATCH($A425,lunar_ref!$A:$A,0)),"")</f>
        <v/>
      </c>
      <c r="E425" s="0">
        <f>_xlfn.XLOOKUP($D425,lookup!$A:$A,lookup!$B:$B)</f>
        <v/>
      </c>
      <c r="F425" s="0">
        <f>IF($E425=1,"New",IF($E425=15,"Full",""))</f>
        <v/>
      </c>
      <c r="H425" s="0">
        <f>IF($E425="","",IF(OR($E425=8,$E425=14,$E425=15,$E425=23,$E426=1,$E427=1),"Fast day",""))</f>
        <v/>
      </c>
      <c r="I425" s="0">
        <f>IFERROR(INDEX(lookup!$E:$E,MATCH($C425,lookup!$D:$D,0)),"")</f>
        <v/>
      </c>
      <c r="J425" s="0">
        <f>IF($I425="","",IF(OR($I425=1,$I425=5,$I425=9),IF($K425="","Long fast month","Long fast month (LEAP)"),""))</f>
        <v/>
      </c>
      <c r="K425" s="0">
        <f>IFERROR(IF(INDEX(lookup!$G:$G,MATCH($C425,lookup!$D:$D,0))="LEAP","LEAP MONTH - counts as month "&amp;$I425&amp;", flagged for review",""),"")</f>
        <v/>
      </c>
    </row>
    <row r="426">
      <c r="A426" s="12">
        <f>A425+1</f>
        <v/>
      </c>
      <c r="B426" s="0">
        <f>TEXT(A426,"ddd")</f>
        <v/>
      </c>
      <c r="C426" s="0">
        <f>IFERROR(INDEX(lunar_ref!$B:$B,MATCH($A426,lunar_ref!$A:$A,0)),"")</f>
        <v/>
      </c>
      <c r="D426" s="0">
        <f>IFERROR(INDEX(lunar_ref!$C:$C,MATCH($A426,lunar_ref!$A:$A,0)),"")</f>
        <v/>
      </c>
      <c r="E426" s="0">
        <f>_xlfn.XLOOKUP($D426,lookup!$A:$A,lookup!$B:$B)</f>
        <v/>
      </c>
      <c r="F426" s="0">
        <f>IF($E426=1,"New",IF($E426=15,"Full",""))</f>
        <v/>
      </c>
      <c r="H426" s="0">
        <f>IF($E426="","",IF(OR($E426=8,$E426=14,$E426=15,$E426=23,$E427=1,$E428=1),"Fast day",""))</f>
        <v/>
      </c>
      <c r="I426" s="0">
        <f>IFERROR(INDEX(lookup!$E:$E,MATCH($C426,lookup!$D:$D,0)),"")</f>
        <v/>
      </c>
      <c r="J426" s="0">
        <f>IF($I426="","",IF(OR($I426=1,$I426=5,$I426=9),IF($K426="","Long fast month","Long fast month (LEAP)"),""))</f>
        <v/>
      </c>
      <c r="K426" s="0">
        <f>IFERROR(IF(INDEX(lookup!$G:$G,MATCH($C426,lookup!$D:$D,0))="LEAP","LEAP MONTH - counts as month "&amp;$I426&amp;", flagged for review",""),"")</f>
        <v/>
      </c>
    </row>
    <row r="427">
      <c r="A427" s="12">
        <f>A426+1</f>
        <v/>
      </c>
      <c r="B427" s="0">
        <f>TEXT(A427,"ddd")</f>
        <v/>
      </c>
      <c r="C427" s="0">
        <f>IFERROR(INDEX(lunar_ref!$B:$B,MATCH($A427,lunar_ref!$A:$A,0)),"")</f>
        <v/>
      </c>
      <c r="D427" s="0">
        <f>IFERROR(INDEX(lunar_ref!$C:$C,MATCH($A427,lunar_ref!$A:$A,0)),"")</f>
        <v/>
      </c>
      <c r="E427" s="0">
        <f>_xlfn.XLOOKUP($D427,lookup!$A:$A,lookup!$B:$B)</f>
        <v/>
      </c>
      <c r="F427" s="0">
        <f>IF($E427=1,"New",IF($E427=15,"Full",""))</f>
        <v/>
      </c>
      <c r="H427" s="0">
        <f>IF($E427="","",IF(OR($E427=8,$E427=14,$E427=15,$E427=23,$E428=1,$E429=1),"Fast day",""))</f>
        <v/>
      </c>
      <c r="I427" s="0">
        <f>IFERROR(INDEX(lookup!$E:$E,MATCH($C427,lookup!$D:$D,0)),"")</f>
        <v/>
      </c>
      <c r="J427" s="0">
        <f>IF($I427="","",IF(OR($I427=1,$I427=5,$I427=9),IF($K427="","Long fast month","Long fast month (LEAP)"),""))</f>
        <v/>
      </c>
      <c r="K427" s="0">
        <f>IFERROR(IF(INDEX(lookup!$G:$G,MATCH($C427,lookup!$D:$D,0))="LEAP","LEAP MONTH - counts as month "&amp;$I427&amp;", flagged for review",""),"")</f>
        <v/>
      </c>
    </row>
    <row r="428">
      <c r="A428" s="12">
        <f>A427+1</f>
        <v/>
      </c>
      <c r="B428" s="0">
        <f>TEXT(A428,"ddd")</f>
        <v/>
      </c>
      <c r="C428" s="0">
        <f>IFERROR(INDEX(lunar_ref!$B:$B,MATCH($A428,lunar_ref!$A:$A,0)),"")</f>
        <v/>
      </c>
      <c r="D428" s="0">
        <f>IFERROR(INDEX(lunar_ref!$C:$C,MATCH($A428,lunar_ref!$A:$A,0)),"")</f>
        <v/>
      </c>
      <c r="E428" s="0">
        <f>_xlfn.XLOOKUP($D428,lookup!$A:$A,lookup!$B:$B)</f>
        <v/>
      </c>
      <c r="F428" s="0">
        <f>IF($E428=1,"New",IF($E428=15,"Full",""))</f>
        <v/>
      </c>
      <c r="H428" s="0">
        <f>IF($E428="","",IF(OR($E428=8,$E428=14,$E428=15,$E428=23,$E429=1,$E430=1),"Fast day",""))</f>
        <v/>
      </c>
      <c r="I428" s="0">
        <f>IFERROR(INDEX(lookup!$E:$E,MATCH($C428,lookup!$D:$D,0)),"")</f>
        <v/>
      </c>
      <c r="J428" s="0">
        <f>IF($I428="","",IF(OR($I428=1,$I428=5,$I428=9),IF($K428="","Long fast month","Long fast month (LEAP)"),""))</f>
        <v/>
      </c>
      <c r="K428" s="0">
        <f>IFERROR(IF(INDEX(lookup!$G:$G,MATCH($C428,lookup!$D:$D,0))="LEAP","LEAP MONTH - counts as month "&amp;$I428&amp;", flagged for review",""),"")</f>
        <v/>
      </c>
    </row>
    <row r="429">
      <c r="A429" s="12">
        <f>A428+1</f>
        <v/>
      </c>
      <c r="B429" s="0">
        <f>TEXT(A429,"ddd")</f>
        <v/>
      </c>
      <c r="C429" s="0">
        <f>IFERROR(INDEX(lunar_ref!$B:$B,MATCH($A429,lunar_ref!$A:$A,0)),"")</f>
        <v/>
      </c>
      <c r="D429" s="0">
        <f>IFERROR(INDEX(lunar_ref!$C:$C,MATCH($A429,lunar_ref!$A:$A,0)),"")</f>
        <v/>
      </c>
      <c r="E429" s="0">
        <f>_xlfn.XLOOKUP($D429,lookup!$A:$A,lookup!$B:$B)</f>
        <v/>
      </c>
      <c r="F429" s="0">
        <f>IF($E429=1,"New",IF($E429=15,"Full",""))</f>
        <v/>
      </c>
      <c r="H429" s="0">
        <f>IF($E429="","",IF(OR($E429=8,$E429=14,$E429=15,$E429=23,$E430=1,$E431=1),"Fast day",""))</f>
        <v/>
      </c>
      <c r="I429" s="0">
        <f>IFERROR(INDEX(lookup!$E:$E,MATCH($C429,lookup!$D:$D,0)),"")</f>
        <v/>
      </c>
      <c r="J429" s="0">
        <f>IF($I429="","",IF(OR($I429=1,$I429=5,$I429=9),IF($K429="","Long fast month","Long fast month (LEAP)"),""))</f>
        <v/>
      </c>
      <c r="K429" s="0">
        <f>IFERROR(IF(INDEX(lookup!$G:$G,MATCH($C429,lookup!$D:$D,0))="LEAP","LEAP MONTH - counts as month "&amp;$I429&amp;", flagged for review",""),"")</f>
        <v/>
      </c>
    </row>
    <row r="430">
      <c r="A430" s="12">
        <f>A429+1</f>
        <v/>
      </c>
      <c r="B430" s="0">
        <f>TEXT(A430,"ddd")</f>
        <v/>
      </c>
      <c r="C430" s="0">
        <f>IFERROR(INDEX(lunar_ref!$B:$B,MATCH($A430,lunar_ref!$A:$A,0)),"")</f>
        <v/>
      </c>
      <c r="D430" s="0">
        <f>IFERROR(INDEX(lunar_ref!$C:$C,MATCH($A430,lunar_ref!$A:$A,0)),"")</f>
        <v/>
      </c>
      <c r="E430" s="0">
        <f>_xlfn.XLOOKUP($D430,lookup!$A:$A,lookup!$B:$B)</f>
        <v/>
      </c>
      <c r="F430" s="0">
        <f>IF($E430=1,"New",IF($E430=15,"Full",""))</f>
        <v/>
      </c>
      <c r="H430" s="0">
        <f>IF($E430="","",IF(OR($E430=8,$E430=14,$E430=15,$E430=23,$E431=1,$E432=1),"Fast day",""))</f>
        <v/>
      </c>
      <c r="I430" s="0">
        <f>IFERROR(INDEX(lookup!$E:$E,MATCH($C430,lookup!$D:$D,0)),"")</f>
        <v/>
      </c>
      <c r="J430" s="0">
        <f>IF($I430="","",IF(OR($I430=1,$I430=5,$I430=9),IF($K430="","Long fast month","Long fast month (LEAP)"),""))</f>
        <v/>
      </c>
      <c r="K430" s="0">
        <f>IFERROR(IF(INDEX(lookup!$G:$G,MATCH($C430,lookup!$D:$D,0))="LEAP","LEAP MONTH - counts as month "&amp;$I430&amp;", flagged for review",""),"")</f>
        <v/>
      </c>
    </row>
    <row r="431">
      <c r="A431" s="12">
        <f>A430+1</f>
        <v/>
      </c>
      <c r="B431" s="0">
        <f>TEXT(A431,"ddd")</f>
        <v/>
      </c>
      <c r="C431" s="0">
        <f>IFERROR(INDEX(lunar_ref!$B:$B,MATCH($A431,lunar_ref!$A:$A,0)),"")</f>
        <v/>
      </c>
      <c r="D431" s="0">
        <f>IFERROR(INDEX(lunar_ref!$C:$C,MATCH($A431,lunar_ref!$A:$A,0)),"")</f>
        <v/>
      </c>
      <c r="E431" s="0">
        <f>_xlfn.XLOOKUP($D431,lookup!$A:$A,lookup!$B:$B)</f>
        <v/>
      </c>
      <c r="F431" s="0">
        <f>IF($E431=1,"New",IF($E431=15,"Full",""))</f>
        <v/>
      </c>
      <c r="H431" s="0">
        <f>IF($E431="","",IF(OR($E431=8,$E431=14,$E431=15,$E431=23,$E432=1,$E433=1),"Fast day",""))</f>
        <v/>
      </c>
      <c r="I431" s="0">
        <f>IFERROR(INDEX(lookup!$E:$E,MATCH($C431,lookup!$D:$D,0)),"")</f>
        <v/>
      </c>
      <c r="J431" s="0">
        <f>IF($I431="","",IF(OR($I431=1,$I431=5,$I431=9),IF($K431="","Long fast month","Long fast month (LEAP)"),""))</f>
        <v/>
      </c>
      <c r="K431" s="0">
        <f>IFERROR(IF(INDEX(lookup!$G:$G,MATCH($C431,lookup!$D:$D,0))="LEAP","LEAP MONTH - counts as month "&amp;$I431&amp;", flagged for review",""),"")</f>
        <v/>
      </c>
    </row>
    <row r="432">
      <c r="A432" s="12">
        <f>A431+1</f>
        <v/>
      </c>
      <c r="B432" s="0">
        <f>TEXT(A432,"ddd")</f>
        <v/>
      </c>
      <c r="C432" s="0">
        <f>IFERROR(INDEX(lunar_ref!$B:$B,MATCH($A432,lunar_ref!$A:$A,0)),"")</f>
        <v/>
      </c>
      <c r="D432" s="0">
        <f>IFERROR(INDEX(lunar_ref!$C:$C,MATCH($A432,lunar_ref!$A:$A,0)),"")</f>
        <v/>
      </c>
      <c r="E432" s="0">
        <f>_xlfn.XLOOKUP($D432,lookup!$A:$A,lookup!$B:$B)</f>
        <v/>
      </c>
      <c r="F432" s="0">
        <f>IF($E432=1,"New",IF($E432=15,"Full",""))</f>
        <v/>
      </c>
      <c r="H432" s="0">
        <f>IF($E432="","",IF(OR($E432=8,$E432=14,$E432=15,$E432=23,$E433=1,$E434=1),"Fast day",""))</f>
        <v/>
      </c>
      <c r="I432" s="0">
        <f>IFERROR(INDEX(lookup!$E:$E,MATCH($C432,lookup!$D:$D,0)),"")</f>
        <v/>
      </c>
      <c r="J432" s="0">
        <f>IF($I432="","",IF(OR($I432=1,$I432=5,$I432=9),IF($K432="","Long fast month","Long fast month (LEAP)"),""))</f>
        <v/>
      </c>
      <c r="K432" s="0">
        <f>IFERROR(IF(INDEX(lookup!$G:$G,MATCH($C432,lookup!$D:$D,0))="LEAP","LEAP MONTH - counts as month "&amp;$I432&amp;", flagged for review",""),"")</f>
        <v/>
      </c>
    </row>
    <row r="433">
      <c r="A433" s="12">
        <f>A432+1</f>
        <v/>
      </c>
      <c r="B433" s="0">
        <f>TEXT(A433,"ddd")</f>
        <v/>
      </c>
      <c r="C433" s="0">
        <f>IFERROR(INDEX(lunar_ref!$B:$B,MATCH($A433,lunar_ref!$A:$A,0)),"")</f>
        <v/>
      </c>
      <c r="D433" s="0">
        <f>IFERROR(INDEX(lunar_ref!$C:$C,MATCH($A433,lunar_ref!$A:$A,0)),"")</f>
        <v/>
      </c>
      <c r="E433" s="0">
        <f>_xlfn.XLOOKUP($D433,lookup!$A:$A,lookup!$B:$B)</f>
        <v/>
      </c>
      <c r="F433" s="0">
        <f>IF($E433=1,"New",IF($E433=15,"Full",""))</f>
        <v/>
      </c>
      <c r="H433" s="0">
        <f>IF($E433="","",IF(OR($E433=8,$E433=14,$E433=15,$E433=23,$E434=1,$E435=1),"Fast day",""))</f>
        <v/>
      </c>
      <c r="I433" s="0">
        <f>IFERROR(INDEX(lookup!$E:$E,MATCH($C433,lookup!$D:$D,0)),"")</f>
        <v/>
      </c>
      <c r="J433" s="0">
        <f>IF($I433="","",IF(OR($I433=1,$I433=5,$I433=9),IF($K433="","Long fast month","Long fast month (LEAP)"),""))</f>
        <v/>
      </c>
      <c r="K433" s="0">
        <f>IFERROR(IF(INDEX(lookup!$G:$G,MATCH($C433,lookup!$D:$D,0))="LEAP","LEAP MONTH - counts as month "&amp;$I433&amp;", flagged for review",""),"")</f>
        <v/>
      </c>
    </row>
    <row r="434">
      <c r="A434" s="12">
        <f>A433+1</f>
        <v/>
      </c>
      <c r="B434" s="0">
        <f>TEXT(A434,"ddd")</f>
        <v/>
      </c>
      <c r="C434" s="0">
        <f>IFERROR(INDEX(lunar_ref!$B:$B,MATCH($A434,lunar_ref!$A:$A,0)),"")</f>
        <v/>
      </c>
      <c r="D434" s="0">
        <f>IFERROR(INDEX(lunar_ref!$C:$C,MATCH($A434,lunar_ref!$A:$A,0)),"")</f>
        <v/>
      </c>
      <c r="E434" s="0">
        <f>_xlfn.XLOOKUP($D434,lookup!$A:$A,lookup!$B:$B)</f>
        <v/>
      </c>
      <c r="F434" s="0">
        <f>IF($E434=1,"New",IF($E434=15,"Full",""))</f>
        <v/>
      </c>
      <c r="H434" s="0">
        <f>IF($E434="","",IF(OR($E434=8,$E434=14,$E434=15,$E434=23,$E435=1,$E436=1),"Fast day",""))</f>
        <v/>
      </c>
      <c r="I434" s="0">
        <f>IFERROR(INDEX(lookup!$E:$E,MATCH($C434,lookup!$D:$D,0)),"")</f>
        <v/>
      </c>
      <c r="J434" s="0">
        <f>IF($I434="","",IF(OR($I434=1,$I434=5,$I434=9),IF($K434="","Long fast month","Long fast month (LEAP)"),""))</f>
        <v/>
      </c>
      <c r="K434" s="0">
        <f>IFERROR(IF(INDEX(lookup!$G:$G,MATCH($C434,lookup!$D:$D,0))="LEAP","LEAP MONTH - counts as month "&amp;$I434&amp;", flagged for review",""),"")</f>
        <v/>
      </c>
    </row>
    <row r="435">
      <c r="A435" s="12">
        <f>A434+1</f>
        <v/>
      </c>
      <c r="B435" s="0">
        <f>TEXT(A435,"ddd")</f>
        <v/>
      </c>
      <c r="C435" s="0">
        <f>IFERROR(INDEX(lunar_ref!$B:$B,MATCH($A435,lunar_ref!$A:$A,0)),"")</f>
        <v/>
      </c>
      <c r="D435" s="0">
        <f>IFERROR(INDEX(lunar_ref!$C:$C,MATCH($A435,lunar_ref!$A:$A,0)),"")</f>
        <v/>
      </c>
      <c r="E435" s="0">
        <f>_xlfn.XLOOKUP($D435,lookup!$A:$A,lookup!$B:$B)</f>
        <v/>
      </c>
      <c r="F435" s="0">
        <f>IF($E435=1,"New",IF($E435=15,"Full",""))</f>
        <v/>
      </c>
      <c r="H435" s="0">
        <f>IF($E435="","",IF(OR($E435=8,$E435=14,$E435=15,$E435=23,$E436=1,$E437=1),"Fast day",""))</f>
        <v/>
      </c>
      <c r="I435" s="0">
        <f>IFERROR(INDEX(lookup!$E:$E,MATCH($C435,lookup!$D:$D,0)),"")</f>
        <v/>
      </c>
      <c r="J435" s="0">
        <f>IF($I435="","",IF(OR($I435=1,$I435=5,$I435=9),IF($K435="","Long fast month","Long fast month (LEAP)"),""))</f>
        <v/>
      </c>
      <c r="K435" s="0">
        <f>IFERROR(IF(INDEX(lookup!$G:$G,MATCH($C435,lookup!$D:$D,0))="LEAP","LEAP MONTH - counts as month "&amp;$I435&amp;", flagged for review",""),"")</f>
        <v/>
      </c>
    </row>
    <row r="436">
      <c r="A436" s="12">
        <f>A435+1</f>
        <v/>
      </c>
      <c r="B436" s="0">
        <f>TEXT(A436,"ddd")</f>
        <v/>
      </c>
      <c r="C436" s="0">
        <f>IFERROR(INDEX(lunar_ref!$B:$B,MATCH($A436,lunar_ref!$A:$A,0)),"")</f>
        <v/>
      </c>
      <c r="D436" s="0">
        <f>IFERROR(INDEX(lunar_ref!$C:$C,MATCH($A436,lunar_ref!$A:$A,0)),"")</f>
        <v/>
      </c>
      <c r="E436" s="0">
        <f>_xlfn.XLOOKUP($D436,lookup!$A:$A,lookup!$B:$B)</f>
        <v/>
      </c>
      <c r="F436" s="0">
        <f>IF($E436=1,"New",IF($E436=15,"Full",""))</f>
        <v/>
      </c>
      <c r="H436" s="0">
        <f>IF($E436="","",IF(OR($E436=8,$E436=14,$E436=15,$E436=23,$E437=1,$E438=1),"Fast day",""))</f>
        <v/>
      </c>
      <c r="I436" s="0">
        <f>IFERROR(INDEX(lookup!$E:$E,MATCH($C436,lookup!$D:$D,0)),"")</f>
        <v/>
      </c>
      <c r="J436" s="0">
        <f>IF($I436="","",IF(OR($I436=1,$I436=5,$I436=9),IF($K436="","Long fast month","Long fast month (LEAP)"),""))</f>
        <v/>
      </c>
      <c r="K436" s="0">
        <f>IFERROR(IF(INDEX(lookup!$G:$G,MATCH($C436,lookup!$D:$D,0))="LEAP","LEAP MONTH - counts as month "&amp;$I436&amp;", flagged for review",""),"")</f>
        <v/>
      </c>
    </row>
    <row r="437">
      <c r="A437" s="12">
        <f>A436+1</f>
        <v/>
      </c>
      <c r="B437" s="0">
        <f>TEXT(A437,"ddd")</f>
        <v/>
      </c>
      <c r="C437" s="0">
        <f>IFERROR(INDEX(lunar_ref!$B:$B,MATCH($A437,lunar_ref!$A:$A,0)),"")</f>
        <v/>
      </c>
      <c r="D437" s="0">
        <f>IFERROR(INDEX(lunar_ref!$C:$C,MATCH($A437,lunar_ref!$A:$A,0)),"")</f>
        <v/>
      </c>
      <c r="E437" s="0">
        <f>_xlfn.XLOOKUP($D437,lookup!$A:$A,lookup!$B:$B)</f>
        <v/>
      </c>
      <c r="F437" s="0">
        <f>IF($E437=1,"New",IF($E437=15,"Full",""))</f>
        <v/>
      </c>
      <c r="H437" s="0">
        <f>IF($E437="","",IF(OR($E437=8,$E437=14,$E437=15,$E437=23,$E438=1,$E439=1),"Fast day",""))</f>
        <v/>
      </c>
      <c r="I437" s="0">
        <f>IFERROR(INDEX(lookup!$E:$E,MATCH($C437,lookup!$D:$D,0)),"")</f>
        <v/>
      </c>
      <c r="J437" s="0">
        <f>IF($I437="","",IF(OR($I437=1,$I437=5,$I437=9),IF($K437="","Long fast month","Long fast month (LEAP)"),""))</f>
        <v/>
      </c>
      <c r="K437" s="0">
        <f>IFERROR(IF(INDEX(lookup!$G:$G,MATCH($C437,lookup!$D:$D,0))="LEAP","LEAP MONTH - counts as month "&amp;$I437&amp;", flagged for review",""),"")</f>
        <v/>
      </c>
    </row>
    <row r="438">
      <c r="A438" s="12">
        <f>A437+1</f>
        <v/>
      </c>
      <c r="B438" s="0">
        <f>TEXT(A438,"ddd")</f>
        <v/>
      </c>
      <c r="C438" s="0">
        <f>IFERROR(INDEX(lunar_ref!$B:$B,MATCH($A438,lunar_ref!$A:$A,0)),"")</f>
        <v/>
      </c>
      <c r="D438" s="0">
        <f>IFERROR(INDEX(lunar_ref!$C:$C,MATCH($A438,lunar_ref!$A:$A,0)),"")</f>
        <v/>
      </c>
      <c r="E438" s="0">
        <f>_xlfn.XLOOKUP($D438,lookup!$A:$A,lookup!$B:$B)</f>
        <v/>
      </c>
      <c r="F438" s="0">
        <f>IF($E438=1,"New",IF($E438=15,"Full",""))</f>
        <v/>
      </c>
      <c r="H438" s="0">
        <f>IF($E438="","",IF(OR($E438=8,$E438=14,$E438=15,$E438=23,$E439=1,$E440=1),"Fast day",""))</f>
        <v/>
      </c>
      <c r="I438" s="0">
        <f>IFERROR(INDEX(lookup!$E:$E,MATCH($C438,lookup!$D:$D,0)),"")</f>
        <v/>
      </c>
      <c r="J438" s="0">
        <f>IF($I438="","",IF(OR($I438=1,$I438=5,$I438=9),IF($K438="","Long fast month","Long fast month (LEAP)"),""))</f>
        <v/>
      </c>
      <c r="K438" s="0">
        <f>IFERROR(IF(INDEX(lookup!$G:$G,MATCH($C438,lookup!$D:$D,0))="LEAP","LEAP MONTH - counts as month "&amp;$I438&amp;", flagged for review",""),"")</f>
        <v/>
      </c>
    </row>
    <row r="439">
      <c r="A439" s="12">
        <f>A438+1</f>
        <v/>
      </c>
      <c r="B439" s="0">
        <f>TEXT(A439,"ddd")</f>
        <v/>
      </c>
      <c r="C439" s="0">
        <f>IFERROR(INDEX(lunar_ref!$B:$B,MATCH($A439,lunar_ref!$A:$A,0)),"")</f>
        <v/>
      </c>
      <c r="D439" s="0">
        <f>IFERROR(INDEX(lunar_ref!$C:$C,MATCH($A439,lunar_ref!$A:$A,0)),"")</f>
        <v/>
      </c>
      <c r="E439" s="0">
        <f>_xlfn.XLOOKUP($D439,lookup!$A:$A,lookup!$B:$B)</f>
        <v/>
      </c>
      <c r="F439" s="0">
        <f>IF($E439=1,"New",IF($E439=15,"Full",""))</f>
        <v/>
      </c>
      <c r="H439" s="0">
        <f>IF($E439="","",IF(OR($E439=8,$E439=14,$E439=15,$E439=23,$E440=1,$E441=1),"Fast day",""))</f>
        <v/>
      </c>
      <c r="I439" s="0">
        <f>IFERROR(INDEX(lookup!$E:$E,MATCH($C439,lookup!$D:$D,0)),"")</f>
        <v/>
      </c>
      <c r="J439" s="0">
        <f>IF($I439="","",IF(OR($I439=1,$I439=5,$I439=9),IF($K439="","Long fast month","Long fast month (LEAP)"),""))</f>
        <v/>
      </c>
      <c r="K439" s="0">
        <f>IFERROR(IF(INDEX(lookup!$G:$G,MATCH($C439,lookup!$D:$D,0))="LEAP","LEAP MONTH - counts as month "&amp;$I439&amp;", flagged for review",""),"")</f>
        <v/>
      </c>
    </row>
    <row r="440">
      <c r="A440" s="12">
        <f>A439+1</f>
        <v/>
      </c>
      <c r="B440" s="0">
        <f>TEXT(A440,"ddd")</f>
        <v/>
      </c>
      <c r="C440" s="0">
        <f>IFERROR(INDEX(lunar_ref!$B:$B,MATCH($A440,lunar_ref!$A:$A,0)),"")</f>
        <v/>
      </c>
      <c r="D440" s="0">
        <f>IFERROR(INDEX(lunar_ref!$C:$C,MATCH($A440,lunar_ref!$A:$A,0)),"")</f>
        <v/>
      </c>
      <c r="E440" s="0">
        <f>_xlfn.XLOOKUP($D440,lookup!$A:$A,lookup!$B:$B)</f>
        <v/>
      </c>
      <c r="F440" s="0">
        <f>IF($E440=1,"New",IF($E440=15,"Full",""))</f>
        <v/>
      </c>
      <c r="H440" s="0">
        <f>IF($E440="","",IF(OR($E440=8,$E440=14,$E440=15,$E440=23,$E441=1,$E442=1),"Fast day",""))</f>
        <v/>
      </c>
      <c r="I440" s="0">
        <f>IFERROR(INDEX(lookup!$E:$E,MATCH($C440,lookup!$D:$D,0)),"")</f>
        <v/>
      </c>
      <c r="J440" s="0">
        <f>IF($I440="","",IF(OR($I440=1,$I440=5,$I440=9),IF($K440="","Long fast month","Long fast month (LEAP)"),""))</f>
        <v/>
      </c>
      <c r="K440" s="0">
        <f>IFERROR(IF(INDEX(lookup!$G:$G,MATCH($C440,lookup!$D:$D,0))="LEAP","LEAP MONTH - counts as month "&amp;$I440&amp;", flagged for review",""),"")</f>
        <v/>
      </c>
    </row>
    <row r="441">
      <c r="A441" s="12">
        <f>A440+1</f>
        <v/>
      </c>
      <c r="B441" s="0">
        <f>TEXT(A441,"ddd")</f>
        <v/>
      </c>
      <c r="C441" s="0">
        <f>IFERROR(INDEX(lunar_ref!$B:$B,MATCH($A441,lunar_ref!$A:$A,0)),"")</f>
        <v/>
      </c>
      <c r="D441" s="0">
        <f>IFERROR(INDEX(lunar_ref!$C:$C,MATCH($A441,lunar_ref!$A:$A,0)),"")</f>
        <v/>
      </c>
      <c r="E441" s="0">
        <f>_xlfn.XLOOKUP($D441,lookup!$A:$A,lookup!$B:$B)</f>
        <v/>
      </c>
      <c r="F441" s="0">
        <f>IF($E441=1,"New",IF($E441=15,"Full",""))</f>
        <v/>
      </c>
      <c r="H441" s="0">
        <f>IF($E441="","",IF(OR($E441=8,$E441=14,$E441=15,$E441=23,$E442=1,$E443=1),"Fast day",""))</f>
        <v/>
      </c>
      <c r="I441" s="0">
        <f>IFERROR(INDEX(lookup!$E:$E,MATCH($C441,lookup!$D:$D,0)),"")</f>
        <v/>
      </c>
      <c r="J441" s="0">
        <f>IF($I441="","",IF(OR($I441=1,$I441=5,$I441=9),IF($K441="","Long fast month","Long fast month (LEAP)"),""))</f>
        <v/>
      </c>
      <c r="K441" s="0">
        <f>IFERROR(IF(INDEX(lookup!$G:$G,MATCH($C441,lookup!$D:$D,0))="LEAP","LEAP MONTH - counts as month "&amp;$I441&amp;", flagged for review",""),"")</f>
        <v/>
      </c>
    </row>
    <row r="442">
      <c r="A442" s="12">
        <f>A441+1</f>
        <v/>
      </c>
      <c r="B442" s="0">
        <f>TEXT(A442,"ddd")</f>
        <v/>
      </c>
      <c r="C442" s="0">
        <f>IFERROR(INDEX(lunar_ref!$B:$B,MATCH($A442,lunar_ref!$A:$A,0)),"")</f>
        <v/>
      </c>
      <c r="D442" s="0">
        <f>IFERROR(INDEX(lunar_ref!$C:$C,MATCH($A442,lunar_ref!$A:$A,0)),"")</f>
        <v/>
      </c>
      <c r="E442" s="0">
        <f>_xlfn.XLOOKUP($D442,lookup!$A:$A,lookup!$B:$B)</f>
        <v/>
      </c>
      <c r="F442" s="0">
        <f>IF($E442=1,"New",IF($E442=15,"Full",""))</f>
        <v/>
      </c>
      <c r="H442" s="0">
        <f>IF($E442="","",IF(OR($E442=8,$E442=14,$E442=15,$E442=23,$E443=1,$E444=1),"Fast day",""))</f>
        <v/>
      </c>
      <c r="I442" s="0">
        <f>IFERROR(INDEX(lookup!$E:$E,MATCH($C442,lookup!$D:$D,0)),"")</f>
        <v/>
      </c>
      <c r="J442" s="0">
        <f>IF($I442="","",IF(OR($I442=1,$I442=5,$I442=9),IF($K442="","Long fast month","Long fast month (LEAP)"),""))</f>
        <v/>
      </c>
      <c r="K442" s="0">
        <f>IFERROR(IF(INDEX(lookup!$G:$G,MATCH($C442,lookup!$D:$D,0))="LEAP","LEAP MONTH - counts as month "&amp;$I442&amp;", flagged for review",""),"")</f>
        <v/>
      </c>
    </row>
    <row r="443">
      <c r="A443" s="12">
        <f>A442+1</f>
        <v/>
      </c>
      <c r="B443" s="0">
        <f>TEXT(A443,"ddd")</f>
        <v/>
      </c>
      <c r="C443" s="0">
        <f>IFERROR(INDEX(lunar_ref!$B:$B,MATCH($A443,lunar_ref!$A:$A,0)),"")</f>
        <v/>
      </c>
      <c r="D443" s="0">
        <f>IFERROR(INDEX(lunar_ref!$C:$C,MATCH($A443,lunar_ref!$A:$A,0)),"")</f>
        <v/>
      </c>
      <c r="E443" s="0">
        <f>_xlfn.XLOOKUP($D443,lookup!$A:$A,lookup!$B:$B)</f>
        <v/>
      </c>
      <c r="F443" s="0">
        <f>IF($E443=1,"New",IF($E443=15,"Full",""))</f>
        <v/>
      </c>
      <c r="H443" s="0">
        <f>IF($E443="","",IF(OR($E443=8,$E443=14,$E443=15,$E443=23,$E444=1,$E445=1),"Fast day",""))</f>
        <v/>
      </c>
      <c r="I443" s="0">
        <f>IFERROR(INDEX(lookup!$E:$E,MATCH($C443,lookup!$D:$D,0)),"")</f>
        <v/>
      </c>
      <c r="J443" s="0">
        <f>IF($I443="","",IF(OR($I443=1,$I443=5,$I443=9),IF($K443="","Long fast month","Long fast month (LEAP)"),""))</f>
        <v/>
      </c>
      <c r="K443" s="0">
        <f>IFERROR(IF(INDEX(lookup!$G:$G,MATCH($C443,lookup!$D:$D,0))="LEAP","LEAP MONTH - counts as month "&amp;$I443&amp;", flagged for review",""),"")</f>
        <v/>
      </c>
    </row>
    <row r="444">
      <c r="A444" s="12">
        <f>A443+1</f>
        <v/>
      </c>
      <c r="B444" s="0">
        <f>TEXT(A444,"ddd")</f>
        <v/>
      </c>
      <c r="C444" s="0">
        <f>IFERROR(INDEX(lunar_ref!$B:$B,MATCH($A444,lunar_ref!$A:$A,0)),"")</f>
        <v/>
      </c>
      <c r="D444" s="0">
        <f>IFERROR(INDEX(lunar_ref!$C:$C,MATCH($A444,lunar_ref!$A:$A,0)),"")</f>
        <v/>
      </c>
      <c r="E444" s="0">
        <f>_xlfn.XLOOKUP($D444,lookup!$A:$A,lookup!$B:$B)</f>
        <v/>
      </c>
      <c r="F444" s="0">
        <f>IF($E444=1,"New",IF($E444=15,"Full",""))</f>
        <v/>
      </c>
      <c r="H444" s="0">
        <f>IF($E444="","",IF(OR($E444=8,$E444=14,$E444=15,$E444=23,$E445=1,$E446=1),"Fast day",""))</f>
        <v/>
      </c>
      <c r="I444" s="0">
        <f>IFERROR(INDEX(lookup!$E:$E,MATCH($C444,lookup!$D:$D,0)),"")</f>
        <v/>
      </c>
      <c r="J444" s="0">
        <f>IF($I444="","",IF(OR($I444=1,$I444=5,$I444=9),IF($K444="","Long fast month","Long fast month (LEAP)"),""))</f>
        <v/>
      </c>
      <c r="K444" s="0">
        <f>IFERROR(IF(INDEX(lookup!$G:$G,MATCH($C444,lookup!$D:$D,0))="LEAP","LEAP MONTH - counts as month "&amp;$I444&amp;", flagged for review",""),"")</f>
        <v/>
      </c>
    </row>
    <row r="445">
      <c r="A445" s="12">
        <f>A444+1</f>
        <v/>
      </c>
      <c r="B445" s="0">
        <f>TEXT(A445,"ddd")</f>
        <v/>
      </c>
      <c r="C445" s="0">
        <f>IFERROR(INDEX(lunar_ref!$B:$B,MATCH($A445,lunar_ref!$A:$A,0)),"")</f>
        <v/>
      </c>
      <c r="D445" s="0">
        <f>IFERROR(INDEX(lunar_ref!$C:$C,MATCH($A445,lunar_ref!$A:$A,0)),"")</f>
        <v/>
      </c>
      <c r="E445" s="0">
        <f>_xlfn.XLOOKUP($D445,lookup!$A:$A,lookup!$B:$B)</f>
        <v/>
      </c>
      <c r="F445" s="0">
        <f>IF($E445=1,"New",IF($E445=15,"Full",""))</f>
        <v/>
      </c>
      <c r="H445" s="0">
        <f>IF($E445="","",IF(OR($E445=8,$E445=14,$E445=15,$E445=23,$E446=1,$E447=1),"Fast day",""))</f>
        <v/>
      </c>
      <c r="I445" s="0">
        <f>IFERROR(INDEX(lookup!$E:$E,MATCH($C445,lookup!$D:$D,0)),"")</f>
        <v/>
      </c>
      <c r="J445" s="0">
        <f>IF($I445="","",IF(OR($I445=1,$I445=5,$I445=9),IF($K445="","Long fast month","Long fast month (LEAP)"),""))</f>
        <v/>
      </c>
      <c r="K445" s="0">
        <f>IFERROR(IF(INDEX(lookup!$G:$G,MATCH($C445,lookup!$D:$D,0))="LEAP","LEAP MONTH - counts as month "&amp;$I445&amp;", flagged for review",""),"")</f>
        <v/>
      </c>
    </row>
    <row r="446">
      <c r="A446" s="12">
        <f>A445+1</f>
        <v/>
      </c>
      <c r="B446" s="0">
        <f>TEXT(A446,"ddd")</f>
        <v/>
      </c>
      <c r="C446" s="0">
        <f>IFERROR(INDEX(lunar_ref!$B:$B,MATCH($A446,lunar_ref!$A:$A,0)),"")</f>
        <v/>
      </c>
      <c r="D446" s="0">
        <f>IFERROR(INDEX(lunar_ref!$C:$C,MATCH($A446,lunar_ref!$A:$A,0)),"")</f>
        <v/>
      </c>
      <c r="E446" s="0">
        <f>_xlfn.XLOOKUP($D446,lookup!$A:$A,lookup!$B:$B)</f>
        <v/>
      </c>
      <c r="F446" s="0">
        <f>IF($E446=1,"New",IF($E446=15,"Full",""))</f>
        <v/>
      </c>
      <c r="H446" s="0">
        <f>IF($E446="","",IF(OR($E446=8,$E446=14,$E446=15,$E446=23,$E447=1,$E448=1),"Fast day",""))</f>
        <v/>
      </c>
      <c r="I446" s="0">
        <f>IFERROR(INDEX(lookup!$E:$E,MATCH($C446,lookup!$D:$D,0)),"")</f>
        <v/>
      </c>
      <c r="J446" s="0">
        <f>IF($I446="","",IF(OR($I446=1,$I446=5,$I446=9),IF($K446="","Long fast month","Long fast month (LEAP)"),""))</f>
        <v/>
      </c>
      <c r="K446" s="0">
        <f>IFERROR(IF(INDEX(lookup!$G:$G,MATCH($C446,lookup!$D:$D,0))="LEAP","LEAP MONTH - counts as month "&amp;$I446&amp;", flagged for review",""),"")</f>
        <v/>
      </c>
    </row>
    <row r="447">
      <c r="A447" s="12">
        <f>A446+1</f>
        <v/>
      </c>
      <c r="B447" s="0">
        <f>TEXT(A447,"ddd")</f>
        <v/>
      </c>
      <c r="C447" s="0">
        <f>IFERROR(INDEX(lunar_ref!$B:$B,MATCH($A447,lunar_ref!$A:$A,0)),"")</f>
        <v/>
      </c>
      <c r="D447" s="0">
        <f>IFERROR(INDEX(lunar_ref!$C:$C,MATCH($A447,lunar_ref!$A:$A,0)),"")</f>
        <v/>
      </c>
      <c r="E447" s="0">
        <f>_xlfn.XLOOKUP($D447,lookup!$A:$A,lookup!$B:$B)</f>
        <v/>
      </c>
      <c r="F447" s="0">
        <f>IF($E447=1,"New",IF($E447=15,"Full",""))</f>
        <v/>
      </c>
      <c r="H447" s="0">
        <f>IF($E447="","",IF(OR($E447=8,$E447=14,$E447=15,$E447=23,$E448=1,$E449=1),"Fast day",""))</f>
        <v/>
      </c>
      <c r="I447" s="0">
        <f>IFERROR(INDEX(lookup!$E:$E,MATCH($C447,lookup!$D:$D,0)),"")</f>
        <v/>
      </c>
      <c r="J447" s="0">
        <f>IF($I447="","",IF(OR($I447=1,$I447=5,$I447=9),IF($K447="","Long fast month","Long fast month (LEAP)"),""))</f>
        <v/>
      </c>
      <c r="K447" s="0">
        <f>IFERROR(IF(INDEX(lookup!$G:$G,MATCH($C447,lookup!$D:$D,0))="LEAP","LEAP MONTH - counts as month "&amp;$I447&amp;", flagged for review",""),"")</f>
        <v/>
      </c>
    </row>
    <row r="448">
      <c r="A448" s="12">
        <f>A447+1</f>
        <v/>
      </c>
      <c r="B448" s="0">
        <f>TEXT(A448,"ddd")</f>
        <v/>
      </c>
      <c r="C448" s="0">
        <f>IFERROR(INDEX(lunar_ref!$B:$B,MATCH($A448,lunar_ref!$A:$A,0)),"")</f>
        <v/>
      </c>
      <c r="D448" s="0">
        <f>IFERROR(INDEX(lunar_ref!$C:$C,MATCH($A448,lunar_ref!$A:$A,0)),"")</f>
        <v/>
      </c>
      <c r="E448" s="0">
        <f>_xlfn.XLOOKUP($D448,lookup!$A:$A,lookup!$B:$B)</f>
        <v/>
      </c>
      <c r="F448" s="0">
        <f>IF($E448=1,"New",IF($E448=15,"Full",""))</f>
        <v/>
      </c>
      <c r="H448" s="0">
        <f>IF($E448="","",IF(OR($E448=8,$E448=14,$E448=15,$E448=23,$E449=1,$E450=1),"Fast day",""))</f>
        <v/>
      </c>
      <c r="I448" s="0">
        <f>IFERROR(INDEX(lookup!$E:$E,MATCH($C448,lookup!$D:$D,0)),"")</f>
        <v/>
      </c>
      <c r="J448" s="0">
        <f>IF($I448="","",IF(OR($I448=1,$I448=5,$I448=9),IF($K448="","Long fast month","Long fast month (LEAP)"),""))</f>
        <v/>
      </c>
      <c r="K448" s="0">
        <f>IFERROR(IF(INDEX(lookup!$G:$G,MATCH($C448,lookup!$D:$D,0))="LEAP","LEAP MONTH - counts as month "&amp;$I448&amp;", flagged for review",""),"")</f>
        <v/>
      </c>
    </row>
    <row r="449">
      <c r="A449" s="12">
        <f>A448+1</f>
        <v/>
      </c>
      <c r="B449" s="0">
        <f>TEXT(A449,"ddd")</f>
        <v/>
      </c>
      <c r="C449" s="0">
        <f>IFERROR(INDEX(lunar_ref!$B:$B,MATCH($A449,lunar_ref!$A:$A,0)),"")</f>
        <v/>
      </c>
      <c r="D449" s="0">
        <f>IFERROR(INDEX(lunar_ref!$C:$C,MATCH($A449,lunar_ref!$A:$A,0)),"")</f>
        <v/>
      </c>
      <c r="E449" s="0">
        <f>_xlfn.XLOOKUP($D449,lookup!$A:$A,lookup!$B:$B)</f>
        <v/>
      </c>
      <c r="F449" s="0">
        <f>IF($E449=1,"New",IF($E449=15,"Full",""))</f>
        <v/>
      </c>
      <c r="H449" s="0">
        <f>IF($E449="","",IF(OR($E449=8,$E449=14,$E449=15,$E449=23,$E450=1,$E451=1),"Fast day",""))</f>
        <v/>
      </c>
      <c r="I449" s="0">
        <f>IFERROR(INDEX(lookup!$E:$E,MATCH($C449,lookup!$D:$D,0)),"")</f>
        <v/>
      </c>
      <c r="J449" s="0">
        <f>IF($I449="","",IF(OR($I449=1,$I449=5,$I449=9),IF($K449="","Long fast month","Long fast month (LEAP)"),""))</f>
        <v/>
      </c>
      <c r="K449" s="0">
        <f>IFERROR(IF(INDEX(lookup!$G:$G,MATCH($C449,lookup!$D:$D,0))="LEAP","LEAP MONTH - counts as month "&amp;$I449&amp;", flagged for review",""),"")</f>
        <v/>
      </c>
    </row>
    <row r="450">
      <c r="A450" s="12">
        <f>A449+1</f>
        <v/>
      </c>
      <c r="B450" s="0">
        <f>TEXT(A450,"ddd")</f>
        <v/>
      </c>
      <c r="C450" s="0">
        <f>IFERROR(INDEX(lunar_ref!$B:$B,MATCH($A450,lunar_ref!$A:$A,0)),"")</f>
        <v/>
      </c>
      <c r="D450" s="0">
        <f>IFERROR(INDEX(lunar_ref!$C:$C,MATCH($A450,lunar_ref!$A:$A,0)),"")</f>
        <v/>
      </c>
      <c r="E450" s="0">
        <f>_xlfn.XLOOKUP($D450,lookup!$A:$A,lookup!$B:$B)</f>
        <v/>
      </c>
      <c r="F450" s="0">
        <f>IF($E450=1,"New",IF($E450=15,"Full",""))</f>
        <v/>
      </c>
      <c r="H450" s="0">
        <f>IF($E450="","",IF(OR($E450=8,$E450=14,$E450=15,$E450=23,$E451=1,$E452=1),"Fast day",""))</f>
        <v/>
      </c>
      <c r="I450" s="0">
        <f>IFERROR(INDEX(lookup!$E:$E,MATCH($C450,lookup!$D:$D,0)),"")</f>
        <v/>
      </c>
      <c r="J450" s="0">
        <f>IF($I450="","",IF(OR($I450=1,$I450=5,$I450=9),IF($K450="","Long fast month","Long fast month (LEAP)"),""))</f>
        <v/>
      </c>
      <c r="K450" s="0">
        <f>IFERROR(IF(INDEX(lookup!$G:$G,MATCH($C450,lookup!$D:$D,0))="LEAP","LEAP MONTH - counts as month "&amp;$I450&amp;", flagged for review",""),"")</f>
        <v/>
      </c>
    </row>
    <row r="451">
      <c r="A451" s="12">
        <f>A450+1</f>
        <v/>
      </c>
      <c r="B451" s="0">
        <f>TEXT(A451,"ddd")</f>
        <v/>
      </c>
      <c r="C451" s="0">
        <f>IFERROR(INDEX(lunar_ref!$B:$B,MATCH($A451,lunar_ref!$A:$A,0)),"")</f>
        <v/>
      </c>
      <c r="D451" s="0">
        <f>IFERROR(INDEX(lunar_ref!$C:$C,MATCH($A451,lunar_ref!$A:$A,0)),"")</f>
        <v/>
      </c>
      <c r="E451" s="0">
        <f>_xlfn.XLOOKUP($D451,lookup!$A:$A,lookup!$B:$B)</f>
        <v/>
      </c>
      <c r="F451" s="0">
        <f>IF($E451=1,"New",IF($E451=15,"Full",""))</f>
        <v/>
      </c>
      <c r="H451" s="0">
        <f>IF($E451="","",IF(OR($E451=8,$E451=14,$E451=15,$E451=23,$E452=1,$E453=1),"Fast day",""))</f>
        <v/>
      </c>
      <c r="I451" s="0">
        <f>IFERROR(INDEX(lookup!$E:$E,MATCH($C451,lookup!$D:$D,0)),"")</f>
        <v/>
      </c>
      <c r="J451" s="0">
        <f>IF($I451="","",IF(OR($I451=1,$I451=5,$I451=9),IF($K451="","Long fast month","Long fast month (LEAP)"),""))</f>
        <v/>
      </c>
      <c r="K451" s="0">
        <f>IFERROR(IF(INDEX(lookup!$G:$G,MATCH($C451,lookup!$D:$D,0))="LEAP","LEAP MONTH - counts as month "&amp;$I451&amp;", flagged for review",""),"")</f>
        <v/>
      </c>
    </row>
    <row r="452">
      <c r="A452" s="12">
        <f>A451+1</f>
        <v/>
      </c>
      <c r="B452" s="0">
        <f>TEXT(A452,"ddd")</f>
        <v/>
      </c>
      <c r="C452" s="0">
        <f>IFERROR(INDEX(lunar_ref!$B:$B,MATCH($A452,lunar_ref!$A:$A,0)),"")</f>
        <v/>
      </c>
      <c r="D452" s="0">
        <f>IFERROR(INDEX(lunar_ref!$C:$C,MATCH($A452,lunar_ref!$A:$A,0)),"")</f>
        <v/>
      </c>
      <c r="E452" s="0">
        <f>_xlfn.XLOOKUP($D452,lookup!$A:$A,lookup!$B:$B)</f>
        <v/>
      </c>
      <c r="F452" s="0">
        <f>IF($E452=1,"New",IF($E452=15,"Full",""))</f>
        <v/>
      </c>
      <c r="H452" s="0">
        <f>IF($E452="","",IF(OR($E452=8,$E452=14,$E452=15,$E452=23,$E453=1,$E454=1),"Fast day",""))</f>
        <v/>
      </c>
      <c r="I452" s="0">
        <f>IFERROR(INDEX(lookup!$E:$E,MATCH($C452,lookup!$D:$D,0)),"")</f>
        <v/>
      </c>
      <c r="J452" s="0">
        <f>IF($I452="","",IF(OR($I452=1,$I452=5,$I452=9),IF($K452="","Long fast month","Long fast month (LEAP)"),""))</f>
        <v/>
      </c>
      <c r="K452" s="0">
        <f>IFERROR(IF(INDEX(lookup!$G:$G,MATCH($C452,lookup!$D:$D,0))="LEAP","LEAP MONTH - counts as month "&amp;$I452&amp;", flagged for review",""),"")</f>
        <v/>
      </c>
    </row>
    <row r="453">
      <c r="A453" s="12">
        <f>A452+1</f>
        <v/>
      </c>
      <c r="B453" s="0">
        <f>TEXT(A453,"ddd")</f>
        <v/>
      </c>
      <c r="C453" s="0">
        <f>IFERROR(INDEX(lunar_ref!$B:$B,MATCH($A453,lunar_ref!$A:$A,0)),"")</f>
        <v/>
      </c>
      <c r="D453" s="0">
        <f>IFERROR(INDEX(lunar_ref!$C:$C,MATCH($A453,lunar_ref!$A:$A,0)),"")</f>
        <v/>
      </c>
      <c r="E453" s="0">
        <f>_xlfn.XLOOKUP($D453,lookup!$A:$A,lookup!$B:$B)</f>
        <v/>
      </c>
      <c r="F453" s="0">
        <f>IF($E453=1,"New",IF($E453=15,"Full",""))</f>
        <v/>
      </c>
      <c r="H453" s="0">
        <f>IF($E453="","",IF(OR($E453=8,$E453=14,$E453=15,$E453=23,$E454=1,$E455=1),"Fast day",""))</f>
        <v/>
      </c>
      <c r="I453" s="0">
        <f>IFERROR(INDEX(lookup!$E:$E,MATCH($C453,lookup!$D:$D,0)),"")</f>
        <v/>
      </c>
      <c r="J453" s="0">
        <f>IF($I453="","",IF(OR($I453=1,$I453=5,$I453=9),IF($K453="","Long fast month","Long fast month (LEAP)"),""))</f>
        <v/>
      </c>
      <c r="K453" s="0">
        <f>IFERROR(IF(INDEX(lookup!$G:$G,MATCH($C453,lookup!$D:$D,0))="LEAP","LEAP MONTH - counts as month "&amp;$I453&amp;", flagged for review",""),"")</f>
        <v/>
      </c>
    </row>
    <row r="454">
      <c r="A454" s="12">
        <f>A453+1</f>
        <v/>
      </c>
      <c r="B454" s="0">
        <f>TEXT(A454,"ddd")</f>
        <v/>
      </c>
      <c r="C454" s="0">
        <f>IFERROR(INDEX(lunar_ref!$B:$B,MATCH($A454,lunar_ref!$A:$A,0)),"")</f>
        <v/>
      </c>
      <c r="D454" s="0">
        <f>IFERROR(INDEX(lunar_ref!$C:$C,MATCH($A454,lunar_ref!$A:$A,0)),"")</f>
        <v/>
      </c>
      <c r="E454" s="0">
        <f>_xlfn.XLOOKUP($D454,lookup!$A:$A,lookup!$B:$B)</f>
        <v/>
      </c>
      <c r="F454" s="0">
        <f>IF($E454=1,"New",IF($E454=15,"Full",""))</f>
        <v/>
      </c>
      <c r="H454" s="0">
        <f>IF($E454="","",IF(OR($E454=8,$E454=14,$E454=15,$E454=23,$E455=1,$E456=1),"Fast day",""))</f>
        <v/>
      </c>
      <c r="I454" s="0">
        <f>IFERROR(INDEX(lookup!$E:$E,MATCH($C454,lookup!$D:$D,0)),"")</f>
        <v/>
      </c>
      <c r="J454" s="0">
        <f>IF($I454="","",IF(OR($I454=1,$I454=5,$I454=9),IF($K454="","Long fast month","Long fast month (LEAP)"),""))</f>
        <v/>
      </c>
      <c r="K454" s="0">
        <f>IFERROR(IF(INDEX(lookup!$G:$G,MATCH($C454,lookup!$D:$D,0))="LEAP","LEAP MONTH - counts as month "&amp;$I454&amp;", flagged for review",""),"")</f>
        <v/>
      </c>
    </row>
    <row r="455">
      <c r="A455" s="12">
        <f>A454+1</f>
        <v/>
      </c>
      <c r="B455" s="0">
        <f>TEXT(A455,"ddd")</f>
        <v/>
      </c>
      <c r="C455" s="0">
        <f>IFERROR(INDEX(lunar_ref!$B:$B,MATCH($A455,lunar_ref!$A:$A,0)),"")</f>
        <v/>
      </c>
      <c r="D455" s="0">
        <f>IFERROR(INDEX(lunar_ref!$C:$C,MATCH($A455,lunar_ref!$A:$A,0)),"")</f>
        <v/>
      </c>
      <c r="E455" s="0">
        <f>_xlfn.XLOOKUP($D455,lookup!$A:$A,lookup!$B:$B)</f>
        <v/>
      </c>
      <c r="F455" s="0">
        <f>IF($E455=1,"New",IF($E455=15,"Full",""))</f>
        <v/>
      </c>
      <c r="H455" s="0">
        <f>IF($E455="","",IF(OR($E455=8,$E455=14,$E455=15,$E455=23,$E456=1,$E457=1),"Fast day",""))</f>
        <v/>
      </c>
      <c r="I455" s="0">
        <f>IFERROR(INDEX(lookup!$E:$E,MATCH($C455,lookup!$D:$D,0)),"")</f>
        <v/>
      </c>
      <c r="J455" s="0">
        <f>IF($I455="","",IF(OR($I455=1,$I455=5,$I455=9),IF($K455="","Long fast month","Long fast month (LEAP)"),""))</f>
        <v/>
      </c>
      <c r="K455" s="0">
        <f>IFERROR(IF(INDEX(lookup!$G:$G,MATCH($C455,lookup!$D:$D,0))="LEAP","LEAP MONTH - counts as month "&amp;$I455&amp;", flagged for review",""),"")</f>
        <v/>
      </c>
    </row>
    <row r="456">
      <c r="A456" s="12">
        <f>A455+1</f>
        <v/>
      </c>
      <c r="B456" s="0">
        <f>TEXT(A456,"ddd")</f>
        <v/>
      </c>
      <c r="C456" s="0">
        <f>IFERROR(INDEX(lunar_ref!$B:$B,MATCH($A456,lunar_ref!$A:$A,0)),"")</f>
        <v/>
      </c>
      <c r="D456" s="0">
        <f>IFERROR(INDEX(lunar_ref!$C:$C,MATCH($A456,lunar_ref!$A:$A,0)),"")</f>
        <v/>
      </c>
      <c r="E456" s="0">
        <f>_xlfn.XLOOKUP($D456,lookup!$A:$A,lookup!$B:$B)</f>
        <v/>
      </c>
      <c r="F456" s="0">
        <f>IF($E456=1,"New",IF($E456=15,"Full",""))</f>
        <v/>
      </c>
      <c r="H456" s="0">
        <f>IF($E456="","",IF(OR($E456=8,$E456=14,$E456=15,$E456=23,$E457=1,$E458=1),"Fast day",""))</f>
        <v/>
      </c>
      <c r="I456" s="0">
        <f>IFERROR(INDEX(lookup!$E:$E,MATCH($C456,lookup!$D:$D,0)),"")</f>
        <v/>
      </c>
      <c r="J456" s="0">
        <f>IF($I456="","",IF(OR($I456=1,$I456=5,$I456=9),IF($K456="","Long fast month","Long fast month (LEAP)"),""))</f>
        <v/>
      </c>
      <c r="K456" s="0">
        <f>IFERROR(IF(INDEX(lookup!$G:$G,MATCH($C456,lookup!$D:$D,0))="LEAP","LEAP MONTH - counts as month "&amp;$I456&amp;", flagged for review",""),"")</f>
        <v/>
      </c>
    </row>
    <row r="457">
      <c r="A457" s="12">
        <f>A456+1</f>
        <v/>
      </c>
      <c r="B457" s="0">
        <f>TEXT(A457,"ddd")</f>
        <v/>
      </c>
      <c r="C457" s="0">
        <f>IFERROR(INDEX(lunar_ref!$B:$B,MATCH($A457,lunar_ref!$A:$A,0)),"")</f>
        <v/>
      </c>
      <c r="D457" s="0">
        <f>IFERROR(INDEX(lunar_ref!$C:$C,MATCH($A457,lunar_ref!$A:$A,0)),"")</f>
        <v/>
      </c>
      <c r="E457" s="0">
        <f>_xlfn.XLOOKUP($D457,lookup!$A:$A,lookup!$B:$B)</f>
        <v/>
      </c>
      <c r="F457" s="0">
        <f>IF($E457=1,"New",IF($E457=15,"Full",""))</f>
        <v/>
      </c>
      <c r="H457" s="0">
        <f>IF($E457="","",IF(OR($E457=8,$E457=14,$E457=15,$E457=23,$E458=1,$E459=1),"Fast day",""))</f>
        <v/>
      </c>
      <c r="I457" s="0">
        <f>IFERROR(INDEX(lookup!$E:$E,MATCH($C457,lookup!$D:$D,0)),"")</f>
        <v/>
      </c>
      <c r="J457" s="0">
        <f>IF($I457="","",IF(OR($I457=1,$I457=5,$I457=9),IF($K457="","Long fast month","Long fast month (LEAP)"),""))</f>
        <v/>
      </c>
      <c r="K457" s="0">
        <f>IFERROR(IF(INDEX(lookup!$G:$G,MATCH($C457,lookup!$D:$D,0))="LEAP","LEAP MONTH - counts as month "&amp;$I457&amp;", flagged for review",""),"")</f>
        <v/>
      </c>
    </row>
    <row r="458">
      <c r="A458" s="12">
        <f>A457+1</f>
        <v/>
      </c>
      <c r="B458" s="0">
        <f>TEXT(A458,"ddd")</f>
        <v/>
      </c>
      <c r="C458" s="0">
        <f>IFERROR(INDEX(lunar_ref!$B:$B,MATCH($A458,lunar_ref!$A:$A,0)),"")</f>
        <v/>
      </c>
      <c r="D458" s="0">
        <f>IFERROR(INDEX(lunar_ref!$C:$C,MATCH($A458,lunar_ref!$A:$A,0)),"")</f>
        <v/>
      </c>
      <c r="E458" s="0">
        <f>_xlfn.XLOOKUP($D458,lookup!$A:$A,lookup!$B:$B)</f>
        <v/>
      </c>
      <c r="F458" s="0">
        <f>IF($E458=1,"New",IF($E458=15,"Full",""))</f>
        <v/>
      </c>
      <c r="H458" s="0">
        <f>IF($E458="","",IF(OR($E458=8,$E458=14,$E458=15,$E458=23,$E459=1,$E460=1),"Fast day",""))</f>
        <v/>
      </c>
      <c r="I458" s="0">
        <f>IFERROR(INDEX(lookup!$E:$E,MATCH($C458,lookup!$D:$D,0)),"")</f>
        <v/>
      </c>
      <c r="J458" s="0">
        <f>IF($I458="","",IF(OR($I458=1,$I458=5,$I458=9),IF($K458="","Long fast month","Long fast month (LEAP)"),""))</f>
        <v/>
      </c>
      <c r="K458" s="0">
        <f>IFERROR(IF(INDEX(lookup!$G:$G,MATCH($C458,lookup!$D:$D,0))="LEAP","LEAP MONTH - counts as month "&amp;$I458&amp;", flagged for review",""),"")</f>
        <v/>
      </c>
    </row>
    <row r="459">
      <c r="A459" s="12">
        <f>A458+1</f>
        <v/>
      </c>
      <c r="B459" s="0">
        <f>TEXT(A459,"ddd")</f>
        <v/>
      </c>
      <c r="C459" s="0">
        <f>IFERROR(INDEX(lunar_ref!$B:$B,MATCH($A459,lunar_ref!$A:$A,0)),"")</f>
        <v/>
      </c>
      <c r="D459" s="0">
        <f>IFERROR(INDEX(lunar_ref!$C:$C,MATCH($A459,lunar_ref!$A:$A,0)),"")</f>
        <v/>
      </c>
      <c r="E459" s="0">
        <f>_xlfn.XLOOKUP($D459,lookup!$A:$A,lookup!$B:$B)</f>
        <v/>
      </c>
      <c r="F459" s="0">
        <f>IF($E459=1,"New",IF($E459=15,"Full",""))</f>
        <v/>
      </c>
      <c r="H459" s="0">
        <f>IF($E459="","",IF(OR($E459=8,$E459=14,$E459=15,$E459=23,$E460=1,$E461=1),"Fast day",""))</f>
        <v/>
      </c>
      <c r="I459" s="0">
        <f>IFERROR(INDEX(lookup!$E:$E,MATCH($C459,lookup!$D:$D,0)),"")</f>
        <v/>
      </c>
      <c r="J459" s="0">
        <f>IF($I459="","",IF(OR($I459=1,$I459=5,$I459=9),IF($K459="","Long fast month","Long fast month (LEAP)"),""))</f>
        <v/>
      </c>
      <c r="K459" s="0">
        <f>IFERROR(IF(INDEX(lookup!$G:$G,MATCH($C459,lookup!$D:$D,0))="LEAP","LEAP MONTH - counts as month "&amp;$I459&amp;", flagged for review",""),"")</f>
        <v/>
      </c>
    </row>
    <row r="460">
      <c r="A460" s="12">
        <f>A459+1</f>
        <v/>
      </c>
      <c r="B460" s="0">
        <f>TEXT(A460,"ddd")</f>
        <v/>
      </c>
      <c r="C460" s="0">
        <f>IFERROR(INDEX(lunar_ref!$B:$B,MATCH($A460,lunar_ref!$A:$A,0)),"")</f>
        <v/>
      </c>
      <c r="D460" s="0">
        <f>IFERROR(INDEX(lunar_ref!$C:$C,MATCH($A460,lunar_ref!$A:$A,0)),"")</f>
        <v/>
      </c>
      <c r="E460" s="0">
        <f>_xlfn.XLOOKUP($D460,lookup!$A:$A,lookup!$B:$B)</f>
        <v/>
      </c>
      <c r="F460" s="0">
        <f>IF($E460=1,"New",IF($E460=15,"Full",""))</f>
        <v/>
      </c>
      <c r="H460" s="0">
        <f>IF($E460="","",IF(OR($E460=8,$E460=14,$E460=15,$E460=23,$E461=1,$E462=1),"Fast day",""))</f>
        <v/>
      </c>
      <c r="I460" s="0">
        <f>IFERROR(INDEX(lookup!$E:$E,MATCH($C460,lookup!$D:$D,0)),"")</f>
        <v/>
      </c>
      <c r="J460" s="0">
        <f>IF($I460="","",IF(OR($I460=1,$I460=5,$I460=9),IF($K460="","Long fast month","Long fast month (LEAP)"),""))</f>
        <v/>
      </c>
      <c r="K460" s="0">
        <f>IFERROR(IF(INDEX(lookup!$G:$G,MATCH($C460,lookup!$D:$D,0))="LEAP","LEAP MONTH - counts as month "&amp;$I460&amp;", flagged for review",""),"")</f>
        <v/>
      </c>
    </row>
    <row r="461">
      <c r="A461" s="12">
        <f>A460+1</f>
        <v/>
      </c>
      <c r="B461" s="0">
        <f>TEXT(A461,"ddd")</f>
        <v/>
      </c>
      <c r="C461" s="0">
        <f>IFERROR(INDEX(lunar_ref!$B:$B,MATCH($A461,lunar_ref!$A:$A,0)),"")</f>
        <v/>
      </c>
      <c r="D461" s="0">
        <f>IFERROR(INDEX(lunar_ref!$C:$C,MATCH($A461,lunar_ref!$A:$A,0)),"")</f>
        <v/>
      </c>
      <c r="E461" s="0">
        <f>_xlfn.XLOOKUP($D461,lookup!$A:$A,lookup!$B:$B)</f>
        <v/>
      </c>
      <c r="F461" s="0">
        <f>IF($E461=1,"New",IF($E461=15,"Full",""))</f>
        <v/>
      </c>
      <c r="H461" s="0">
        <f>IF($E461="","",IF(OR($E461=8,$E461=14,$E461=15,$E461=23,$E462=1,$E463=1),"Fast day",""))</f>
        <v/>
      </c>
      <c r="I461" s="0">
        <f>IFERROR(INDEX(lookup!$E:$E,MATCH($C461,lookup!$D:$D,0)),"")</f>
        <v/>
      </c>
      <c r="J461" s="0">
        <f>IF($I461="","",IF(OR($I461=1,$I461=5,$I461=9),IF($K461="","Long fast month","Long fast month (LEAP)"),""))</f>
        <v/>
      </c>
      <c r="K461" s="0">
        <f>IFERROR(IF(INDEX(lookup!$G:$G,MATCH($C461,lookup!$D:$D,0))="LEAP","LEAP MONTH - counts as month "&amp;$I461&amp;", flagged for review",""),"")</f>
        <v/>
      </c>
    </row>
    <row r="462">
      <c r="A462" s="12">
        <f>A461+1</f>
        <v/>
      </c>
      <c r="B462" s="0">
        <f>TEXT(A462,"ddd")</f>
        <v/>
      </c>
      <c r="C462" s="0">
        <f>IFERROR(INDEX(lunar_ref!$B:$B,MATCH($A462,lunar_ref!$A:$A,0)),"")</f>
        <v/>
      </c>
      <c r="D462" s="0">
        <f>IFERROR(INDEX(lunar_ref!$C:$C,MATCH($A462,lunar_ref!$A:$A,0)),"")</f>
        <v/>
      </c>
      <c r="E462" s="0">
        <f>_xlfn.XLOOKUP($D462,lookup!$A:$A,lookup!$B:$B)</f>
        <v/>
      </c>
      <c r="F462" s="0">
        <f>IF($E462=1,"New",IF($E462=15,"Full",""))</f>
        <v/>
      </c>
      <c r="H462" s="0">
        <f>IF($E462="","",IF(OR($E462=8,$E462=14,$E462=15,$E462=23,$E463=1,$E464=1),"Fast day",""))</f>
        <v/>
      </c>
      <c r="I462" s="0">
        <f>IFERROR(INDEX(lookup!$E:$E,MATCH($C462,lookup!$D:$D,0)),"")</f>
        <v/>
      </c>
      <c r="J462" s="0">
        <f>IF($I462="","",IF(OR($I462=1,$I462=5,$I462=9),IF($K462="","Long fast month","Long fast month (LEAP)"),""))</f>
        <v/>
      </c>
      <c r="K462" s="0">
        <f>IFERROR(IF(INDEX(lookup!$G:$G,MATCH($C462,lookup!$D:$D,0))="LEAP","LEAP MONTH - counts as month "&amp;$I462&amp;", flagged for review",""),"")</f>
        <v/>
      </c>
    </row>
    <row r="463">
      <c r="A463" s="12">
        <f>A462+1</f>
        <v/>
      </c>
      <c r="B463" s="0">
        <f>TEXT(A463,"ddd")</f>
        <v/>
      </c>
      <c r="C463" s="0">
        <f>IFERROR(INDEX(lunar_ref!$B:$B,MATCH($A463,lunar_ref!$A:$A,0)),"")</f>
        <v/>
      </c>
      <c r="D463" s="0">
        <f>IFERROR(INDEX(lunar_ref!$C:$C,MATCH($A463,lunar_ref!$A:$A,0)),"")</f>
        <v/>
      </c>
      <c r="E463" s="0">
        <f>_xlfn.XLOOKUP($D463,lookup!$A:$A,lookup!$B:$B)</f>
        <v/>
      </c>
      <c r="F463" s="0">
        <f>IF($E463=1,"New",IF($E463=15,"Full",""))</f>
        <v/>
      </c>
      <c r="H463" s="0">
        <f>IF($E463="","",IF(OR($E463=8,$E463=14,$E463=15,$E463=23,$E464=1,$E465=1),"Fast day",""))</f>
        <v/>
      </c>
      <c r="I463" s="0">
        <f>IFERROR(INDEX(lookup!$E:$E,MATCH($C463,lookup!$D:$D,0)),"")</f>
        <v/>
      </c>
      <c r="J463" s="0">
        <f>IF($I463="","",IF(OR($I463=1,$I463=5,$I463=9),IF($K463="","Long fast month","Long fast month (LEAP)"),""))</f>
        <v/>
      </c>
      <c r="K463" s="0">
        <f>IFERROR(IF(INDEX(lookup!$G:$G,MATCH($C463,lookup!$D:$D,0))="LEAP","LEAP MONTH - counts as month "&amp;$I463&amp;", flagged for review",""),"")</f>
        <v/>
      </c>
    </row>
    <row r="464">
      <c r="A464" s="12">
        <f>A463+1</f>
        <v/>
      </c>
      <c r="B464" s="0">
        <f>TEXT(A464,"ddd")</f>
        <v/>
      </c>
      <c r="C464" s="0">
        <f>IFERROR(INDEX(lunar_ref!$B:$B,MATCH($A464,lunar_ref!$A:$A,0)),"")</f>
        <v/>
      </c>
      <c r="D464" s="0">
        <f>IFERROR(INDEX(lunar_ref!$C:$C,MATCH($A464,lunar_ref!$A:$A,0)),"")</f>
        <v/>
      </c>
      <c r="E464" s="0">
        <f>_xlfn.XLOOKUP($D464,lookup!$A:$A,lookup!$B:$B)</f>
        <v/>
      </c>
      <c r="F464" s="0">
        <f>IF($E464=1,"New",IF($E464=15,"Full",""))</f>
        <v/>
      </c>
      <c r="H464" s="0">
        <f>IF($E464="","",IF(OR($E464=8,$E464=14,$E464=15,$E464=23,$E465=1,$E466=1),"Fast day",""))</f>
        <v/>
      </c>
      <c r="I464" s="0">
        <f>IFERROR(INDEX(lookup!$E:$E,MATCH($C464,lookup!$D:$D,0)),"")</f>
        <v/>
      </c>
      <c r="J464" s="0">
        <f>IF($I464="","",IF(OR($I464=1,$I464=5,$I464=9),IF($K464="","Long fast month","Long fast month (LEAP)"),""))</f>
        <v/>
      </c>
      <c r="K464" s="0">
        <f>IFERROR(IF(INDEX(lookup!$G:$G,MATCH($C464,lookup!$D:$D,0))="LEAP","LEAP MONTH - counts as month "&amp;$I464&amp;", flagged for review",""),"")</f>
        <v/>
      </c>
    </row>
    <row r="465">
      <c r="A465" s="12">
        <f>A464+1</f>
        <v/>
      </c>
      <c r="B465" s="0">
        <f>TEXT(A465,"ddd")</f>
        <v/>
      </c>
      <c r="C465" s="0">
        <f>IFERROR(INDEX(lunar_ref!$B:$B,MATCH($A465,lunar_ref!$A:$A,0)),"")</f>
        <v/>
      </c>
      <c r="D465" s="0">
        <f>IFERROR(INDEX(lunar_ref!$C:$C,MATCH($A465,lunar_ref!$A:$A,0)),"")</f>
        <v/>
      </c>
      <c r="E465" s="0">
        <f>_xlfn.XLOOKUP($D465,lookup!$A:$A,lookup!$B:$B)</f>
        <v/>
      </c>
      <c r="F465" s="0">
        <f>IF($E465=1,"New",IF($E465=15,"Full",""))</f>
        <v/>
      </c>
      <c r="H465" s="0">
        <f>IF($E465="","",IF(OR($E465=8,$E465=14,$E465=15,$E465=23,$E466=1,$E467=1),"Fast day",""))</f>
        <v/>
      </c>
      <c r="I465" s="0">
        <f>IFERROR(INDEX(lookup!$E:$E,MATCH($C465,lookup!$D:$D,0)),"")</f>
        <v/>
      </c>
      <c r="J465" s="0">
        <f>IF($I465="","",IF(OR($I465=1,$I465=5,$I465=9),IF($K465="","Long fast month","Long fast month (LEAP)"),""))</f>
        <v/>
      </c>
      <c r="K465" s="0">
        <f>IFERROR(IF(INDEX(lookup!$G:$G,MATCH($C465,lookup!$D:$D,0))="LEAP","LEAP MONTH - counts as month "&amp;$I465&amp;", flagged for review",""),"")</f>
        <v/>
      </c>
    </row>
    <row r="466">
      <c r="A466" s="12">
        <f>A465+1</f>
        <v/>
      </c>
      <c r="B466" s="0">
        <f>TEXT(A466,"ddd")</f>
        <v/>
      </c>
      <c r="C466" s="0">
        <f>IFERROR(INDEX(lunar_ref!$B:$B,MATCH($A466,lunar_ref!$A:$A,0)),"")</f>
        <v/>
      </c>
      <c r="D466" s="0">
        <f>IFERROR(INDEX(lunar_ref!$C:$C,MATCH($A466,lunar_ref!$A:$A,0)),"")</f>
        <v/>
      </c>
      <c r="E466" s="0">
        <f>_xlfn.XLOOKUP($D466,lookup!$A:$A,lookup!$B:$B)</f>
        <v/>
      </c>
      <c r="F466" s="0">
        <f>IF($E466=1,"New",IF($E466=15,"Full",""))</f>
        <v/>
      </c>
      <c r="H466" s="0">
        <f>IF($E466="","",IF(OR($E466=8,$E466=14,$E466=15,$E466=23,$E467=1,$E468=1),"Fast day",""))</f>
        <v/>
      </c>
      <c r="I466" s="0">
        <f>IFERROR(INDEX(lookup!$E:$E,MATCH($C466,lookup!$D:$D,0)),"")</f>
        <v/>
      </c>
      <c r="J466" s="0">
        <f>IF($I466="","",IF(OR($I466=1,$I466=5,$I466=9),IF($K466="","Long fast month","Long fast month (LEAP)"),""))</f>
        <v/>
      </c>
      <c r="K466" s="0">
        <f>IFERROR(IF(INDEX(lookup!$G:$G,MATCH($C466,lookup!$D:$D,0))="LEAP","LEAP MONTH - counts as month "&amp;$I466&amp;", flagged for review",""),"")</f>
        <v/>
      </c>
    </row>
    <row r="467">
      <c r="A467" s="12">
        <f>A466+1</f>
        <v/>
      </c>
      <c r="B467" s="0">
        <f>TEXT(A467,"ddd")</f>
        <v/>
      </c>
      <c r="C467" s="0">
        <f>IFERROR(INDEX(lunar_ref!$B:$B,MATCH($A467,lunar_ref!$A:$A,0)),"")</f>
        <v/>
      </c>
      <c r="D467" s="0">
        <f>IFERROR(INDEX(lunar_ref!$C:$C,MATCH($A467,lunar_ref!$A:$A,0)),"")</f>
        <v/>
      </c>
      <c r="E467" s="0">
        <f>_xlfn.XLOOKUP($D467,lookup!$A:$A,lookup!$B:$B)</f>
        <v/>
      </c>
      <c r="F467" s="0">
        <f>IF($E467=1,"New",IF($E467=15,"Full",""))</f>
        <v/>
      </c>
      <c r="H467" s="0">
        <f>IF($E467="","",IF(OR($E467=8,$E467=14,$E467=15,$E467=23,$E468=1,$E469=1),"Fast day",""))</f>
        <v/>
      </c>
      <c r="I467" s="0">
        <f>IFERROR(INDEX(lookup!$E:$E,MATCH($C467,lookup!$D:$D,0)),"")</f>
        <v/>
      </c>
      <c r="J467" s="0">
        <f>IF($I467="","",IF(OR($I467=1,$I467=5,$I467=9),IF($K467="","Long fast month","Long fast month (LEAP)"),""))</f>
        <v/>
      </c>
      <c r="K467" s="0">
        <f>IFERROR(IF(INDEX(lookup!$G:$G,MATCH($C467,lookup!$D:$D,0))="LEAP","LEAP MONTH - counts as month "&amp;$I467&amp;", flagged for review",""),"")</f>
        <v/>
      </c>
    </row>
    <row r="468">
      <c r="A468" s="12">
        <f>A467+1</f>
        <v/>
      </c>
      <c r="B468" s="0">
        <f>TEXT(A468,"ddd")</f>
        <v/>
      </c>
      <c r="C468" s="0">
        <f>IFERROR(INDEX(lunar_ref!$B:$B,MATCH($A468,lunar_ref!$A:$A,0)),"")</f>
        <v/>
      </c>
      <c r="D468" s="0">
        <f>IFERROR(INDEX(lunar_ref!$C:$C,MATCH($A468,lunar_ref!$A:$A,0)),"")</f>
        <v/>
      </c>
      <c r="E468" s="0">
        <f>_xlfn.XLOOKUP($D468,lookup!$A:$A,lookup!$B:$B)</f>
        <v/>
      </c>
      <c r="F468" s="0">
        <f>IF($E468=1,"New",IF($E468=15,"Full",""))</f>
        <v/>
      </c>
      <c r="H468" s="0">
        <f>IF($E468="","",IF(OR($E468=8,$E468=14,$E468=15,$E468=23,$E469=1,$E470=1),"Fast day",""))</f>
        <v/>
      </c>
      <c r="I468" s="0">
        <f>IFERROR(INDEX(lookup!$E:$E,MATCH($C468,lookup!$D:$D,0)),"")</f>
        <v/>
      </c>
      <c r="J468" s="0">
        <f>IF($I468="","",IF(OR($I468=1,$I468=5,$I468=9),IF($K468="","Long fast month","Long fast month (LEAP)"),""))</f>
        <v/>
      </c>
      <c r="K468" s="0">
        <f>IFERROR(IF(INDEX(lookup!$G:$G,MATCH($C468,lookup!$D:$D,0))="LEAP","LEAP MONTH - counts as month "&amp;$I468&amp;", flagged for review",""),"")</f>
        <v/>
      </c>
    </row>
    <row r="469">
      <c r="A469" s="12">
        <f>A468+1</f>
        <v/>
      </c>
      <c r="B469" s="0">
        <f>TEXT(A469,"ddd")</f>
        <v/>
      </c>
      <c r="C469" s="0">
        <f>IFERROR(INDEX(lunar_ref!$B:$B,MATCH($A469,lunar_ref!$A:$A,0)),"")</f>
        <v/>
      </c>
      <c r="D469" s="0">
        <f>IFERROR(INDEX(lunar_ref!$C:$C,MATCH($A469,lunar_ref!$A:$A,0)),"")</f>
        <v/>
      </c>
      <c r="E469" s="0">
        <f>_xlfn.XLOOKUP($D469,lookup!$A:$A,lookup!$B:$B)</f>
        <v/>
      </c>
      <c r="F469" s="0">
        <f>IF($E469=1,"New",IF($E469=15,"Full",""))</f>
        <v/>
      </c>
      <c r="H469" s="0">
        <f>IF($E469="","",IF(OR($E469=8,$E469=14,$E469=15,$E469=23,$E470=1,$E471=1),"Fast day",""))</f>
        <v/>
      </c>
      <c r="I469" s="0">
        <f>IFERROR(INDEX(lookup!$E:$E,MATCH($C469,lookup!$D:$D,0)),"")</f>
        <v/>
      </c>
      <c r="J469" s="0">
        <f>IF($I469="","",IF(OR($I469=1,$I469=5,$I469=9),IF($K469="","Long fast month","Long fast month (LEAP)"),""))</f>
        <v/>
      </c>
      <c r="K469" s="0">
        <f>IFERROR(IF(INDEX(lookup!$G:$G,MATCH($C469,lookup!$D:$D,0))="LEAP","LEAP MONTH - counts as month "&amp;$I469&amp;", flagged for review",""),"")</f>
        <v/>
      </c>
    </row>
    <row r="470">
      <c r="A470" s="12">
        <f>A469+1</f>
        <v/>
      </c>
      <c r="B470" s="0">
        <f>TEXT(A470,"ddd")</f>
        <v/>
      </c>
      <c r="C470" s="0">
        <f>IFERROR(INDEX(lunar_ref!$B:$B,MATCH($A470,lunar_ref!$A:$A,0)),"")</f>
        <v/>
      </c>
      <c r="D470" s="0">
        <f>IFERROR(INDEX(lunar_ref!$C:$C,MATCH($A470,lunar_ref!$A:$A,0)),"")</f>
        <v/>
      </c>
      <c r="E470" s="0">
        <f>_xlfn.XLOOKUP($D470,lookup!$A:$A,lookup!$B:$B)</f>
        <v/>
      </c>
      <c r="F470" s="0">
        <f>IF($E470=1,"New",IF($E470=15,"Full",""))</f>
        <v/>
      </c>
      <c r="H470" s="0">
        <f>IF($E470="","",IF(OR($E470=8,$E470=14,$E470=15,$E470=23,$E471=1,$E472=1),"Fast day",""))</f>
        <v/>
      </c>
      <c r="I470" s="0">
        <f>IFERROR(INDEX(lookup!$E:$E,MATCH($C470,lookup!$D:$D,0)),"")</f>
        <v/>
      </c>
      <c r="J470" s="0">
        <f>IF($I470="","",IF(OR($I470=1,$I470=5,$I470=9),IF($K470="","Long fast month","Long fast month (LEAP)"),""))</f>
        <v/>
      </c>
      <c r="K470" s="0">
        <f>IFERROR(IF(INDEX(lookup!$G:$G,MATCH($C470,lookup!$D:$D,0))="LEAP","LEAP MONTH - counts as month "&amp;$I470&amp;", flagged for review",""),"")</f>
        <v/>
      </c>
    </row>
    <row r="471">
      <c r="A471" s="12">
        <f>A470+1</f>
        <v/>
      </c>
      <c r="B471" s="0">
        <f>TEXT(A471,"ddd")</f>
        <v/>
      </c>
      <c r="C471" s="0">
        <f>IFERROR(INDEX(lunar_ref!$B:$B,MATCH($A471,lunar_ref!$A:$A,0)),"")</f>
        <v/>
      </c>
      <c r="D471" s="0">
        <f>IFERROR(INDEX(lunar_ref!$C:$C,MATCH($A471,lunar_ref!$A:$A,0)),"")</f>
        <v/>
      </c>
      <c r="E471" s="0">
        <f>_xlfn.XLOOKUP($D471,lookup!$A:$A,lookup!$B:$B)</f>
        <v/>
      </c>
      <c r="F471" s="0">
        <f>IF($E471=1,"New",IF($E471=15,"Full",""))</f>
        <v/>
      </c>
      <c r="H471" s="0">
        <f>IF($E471="","",IF(OR($E471=8,$E471=14,$E471=15,$E471=23,$E472=1,$E473=1),"Fast day",""))</f>
        <v/>
      </c>
      <c r="I471" s="0">
        <f>IFERROR(INDEX(lookup!$E:$E,MATCH($C471,lookup!$D:$D,0)),"")</f>
        <v/>
      </c>
      <c r="J471" s="0">
        <f>IF($I471="","",IF(OR($I471=1,$I471=5,$I471=9),IF($K471="","Long fast month","Long fast month (LEAP)"),""))</f>
        <v/>
      </c>
      <c r="K471" s="0">
        <f>IFERROR(IF(INDEX(lookup!$G:$G,MATCH($C471,lookup!$D:$D,0))="LEAP","LEAP MONTH - counts as month "&amp;$I471&amp;", flagged for review",""),"")</f>
        <v/>
      </c>
    </row>
    <row r="472">
      <c r="A472" s="12">
        <f>A471+1</f>
        <v/>
      </c>
      <c r="B472" s="0">
        <f>TEXT(A472,"ddd")</f>
        <v/>
      </c>
      <c r="C472" s="0">
        <f>IFERROR(INDEX(lunar_ref!$B:$B,MATCH($A472,lunar_ref!$A:$A,0)),"")</f>
        <v/>
      </c>
      <c r="D472" s="0">
        <f>IFERROR(INDEX(lunar_ref!$C:$C,MATCH($A472,lunar_ref!$A:$A,0)),"")</f>
        <v/>
      </c>
      <c r="E472" s="0">
        <f>_xlfn.XLOOKUP($D472,lookup!$A:$A,lookup!$B:$B)</f>
        <v/>
      </c>
      <c r="F472" s="0">
        <f>IF($E472=1,"New",IF($E472=15,"Full",""))</f>
        <v/>
      </c>
      <c r="H472" s="0">
        <f>IF($E472="","",IF(OR($E472=8,$E472=14,$E472=15,$E472=23,$E473=1,$E474=1),"Fast day",""))</f>
        <v/>
      </c>
      <c r="I472" s="0">
        <f>IFERROR(INDEX(lookup!$E:$E,MATCH($C472,lookup!$D:$D,0)),"")</f>
        <v/>
      </c>
      <c r="J472" s="0">
        <f>IF($I472="","",IF(OR($I472=1,$I472=5,$I472=9),IF($K472="","Long fast month","Long fast month (LEAP)"),""))</f>
        <v/>
      </c>
      <c r="K472" s="0">
        <f>IFERROR(IF(INDEX(lookup!$G:$G,MATCH($C472,lookup!$D:$D,0))="LEAP","LEAP MONTH - counts as month "&amp;$I472&amp;", flagged for review",""),"")</f>
        <v/>
      </c>
    </row>
    <row r="473">
      <c r="A473" s="12">
        <f>A472+1</f>
        <v/>
      </c>
      <c r="B473" s="0">
        <f>TEXT(A473,"ddd")</f>
        <v/>
      </c>
      <c r="C473" s="0">
        <f>IFERROR(INDEX(lunar_ref!$B:$B,MATCH($A473,lunar_ref!$A:$A,0)),"")</f>
        <v/>
      </c>
      <c r="D473" s="0">
        <f>IFERROR(INDEX(lunar_ref!$C:$C,MATCH($A473,lunar_ref!$A:$A,0)),"")</f>
        <v/>
      </c>
      <c r="E473" s="0">
        <f>_xlfn.XLOOKUP($D473,lookup!$A:$A,lookup!$B:$B)</f>
        <v/>
      </c>
      <c r="F473" s="0">
        <f>IF($E473=1,"New",IF($E473=15,"Full",""))</f>
        <v/>
      </c>
      <c r="H473" s="0">
        <f>IF($E473="","",IF(OR($E473=8,$E473=14,$E473=15,$E473=23,$E474=1,$E475=1),"Fast day",""))</f>
        <v/>
      </c>
      <c r="I473" s="0">
        <f>IFERROR(INDEX(lookup!$E:$E,MATCH($C473,lookup!$D:$D,0)),"")</f>
        <v/>
      </c>
      <c r="J473" s="0">
        <f>IF($I473="","",IF(OR($I473=1,$I473=5,$I473=9),IF($K473="","Long fast month","Long fast month (LEAP)"),""))</f>
        <v/>
      </c>
      <c r="K473" s="0">
        <f>IFERROR(IF(INDEX(lookup!$G:$G,MATCH($C473,lookup!$D:$D,0))="LEAP","LEAP MONTH - counts as month "&amp;$I473&amp;", flagged for review",""),"")</f>
        <v/>
      </c>
    </row>
    <row r="474">
      <c r="A474" s="12">
        <f>A473+1</f>
        <v/>
      </c>
      <c r="B474" s="0">
        <f>TEXT(A474,"ddd")</f>
        <v/>
      </c>
      <c r="C474" s="0">
        <f>IFERROR(INDEX(lunar_ref!$B:$B,MATCH($A474,lunar_ref!$A:$A,0)),"")</f>
        <v/>
      </c>
      <c r="D474" s="0">
        <f>IFERROR(INDEX(lunar_ref!$C:$C,MATCH($A474,lunar_ref!$A:$A,0)),"")</f>
        <v/>
      </c>
      <c r="E474" s="0">
        <f>_xlfn.XLOOKUP($D474,lookup!$A:$A,lookup!$B:$B)</f>
        <v/>
      </c>
      <c r="F474" s="0">
        <f>IF($E474=1,"New",IF($E474=15,"Full",""))</f>
        <v/>
      </c>
      <c r="H474" s="0">
        <f>IF($E474="","",IF(OR($E474=8,$E474=14,$E474=15,$E474=23,$E475=1,$E476=1),"Fast day",""))</f>
        <v/>
      </c>
      <c r="I474" s="0">
        <f>IFERROR(INDEX(lookup!$E:$E,MATCH($C474,lookup!$D:$D,0)),"")</f>
        <v/>
      </c>
      <c r="J474" s="0">
        <f>IF($I474="","",IF(OR($I474=1,$I474=5,$I474=9),IF($K474="","Long fast month","Long fast month (LEAP)"),""))</f>
        <v/>
      </c>
      <c r="K474" s="0">
        <f>IFERROR(IF(INDEX(lookup!$G:$G,MATCH($C474,lookup!$D:$D,0))="LEAP","LEAP MONTH - counts as month "&amp;$I474&amp;", flagged for review",""),"")</f>
        <v/>
      </c>
    </row>
    <row r="475">
      <c r="A475" s="12">
        <f>A474+1</f>
        <v/>
      </c>
      <c r="B475" s="0">
        <f>TEXT(A475,"ddd")</f>
        <v/>
      </c>
      <c r="C475" s="0">
        <f>IFERROR(INDEX(lunar_ref!$B:$B,MATCH($A475,lunar_ref!$A:$A,0)),"")</f>
        <v/>
      </c>
      <c r="D475" s="0">
        <f>IFERROR(INDEX(lunar_ref!$C:$C,MATCH($A475,lunar_ref!$A:$A,0)),"")</f>
        <v/>
      </c>
      <c r="E475" s="0">
        <f>_xlfn.XLOOKUP($D475,lookup!$A:$A,lookup!$B:$B)</f>
        <v/>
      </c>
      <c r="F475" s="0">
        <f>IF($E475=1,"New",IF($E475=15,"Full",""))</f>
        <v/>
      </c>
      <c r="H475" s="0">
        <f>IF($E475="","",IF(OR($E475=8,$E475=14,$E475=15,$E475=23,$E476=1,$E477=1),"Fast day",""))</f>
        <v/>
      </c>
      <c r="I475" s="0">
        <f>IFERROR(INDEX(lookup!$E:$E,MATCH($C475,lookup!$D:$D,0)),"")</f>
        <v/>
      </c>
      <c r="J475" s="0">
        <f>IF($I475="","",IF(OR($I475=1,$I475=5,$I475=9),IF($K475="","Long fast month","Long fast month (LEAP)"),""))</f>
        <v/>
      </c>
      <c r="K475" s="0">
        <f>IFERROR(IF(INDEX(lookup!$G:$G,MATCH($C475,lookup!$D:$D,0))="LEAP","LEAP MONTH - counts as month "&amp;$I475&amp;", flagged for review",""),"")</f>
        <v/>
      </c>
    </row>
    <row r="476">
      <c r="A476" s="12">
        <f>A475+1</f>
        <v/>
      </c>
      <c r="B476" s="0">
        <f>TEXT(A476,"ddd")</f>
        <v/>
      </c>
      <c r="C476" s="0">
        <f>IFERROR(INDEX(lunar_ref!$B:$B,MATCH($A476,lunar_ref!$A:$A,0)),"")</f>
        <v/>
      </c>
      <c r="D476" s="0">
        <f>IFERROR(INDEX(lunar_ref!$C:$C,MATCH($A476,lunar_ref!$A:$A,0)),"")</f>
        <v/>
      </c>
      <c r="E476" s="0">
        <f>_xlfn.XLOOKUP($D476,lookup!$A:$A,lookup!$B:$B)</f>
        <v/>
      </c>
      <c r="F476" s="0">
        <f>IF($E476=1,"New",IF($E476=15,"Full",""))</f>
        <v/>
      </c>
      <c r="H476" s="0">
        <f>IF($E476="","",IF(OR($E476=8,$E476=14,$E476=15,$E476=23,$E477=1,$E478=1),"Fast day",""))</f>
        <v/>
      </c>
      <c r="I476" s="0">
        <f>IFERROR(INDEX(lookup!$E:$E,MATCH($C476,lookup!$D:$D,0)),"")</f>
        <v/>
      </c>
      <c r="J476" s="0">
        <f>IF($I476="","",IF(OR($I476=1,$I476=5,$I476=9),IF($K476="","Long fast month","Long fast month (LEAP)"),""))</f>
        <v/>
      </c>
      <c r="K476" s="0">
        <f>IFERROR(IF(INDEX(lookup!$G:$G,MATCH($C476,lookup!$D:$D,0))="LEAP","LEAP MONTH - counts as month "&amp;$I476&amp;", flagged for review",""),"")</f>
        <v/>
      </c>
    </row>
    <row r="477">
      <c r="A477" s="12">
        <f>A476+1</f>
        <v/>
      </c>
      <c r="B477" s="0">
        <f>TEXT(A477,"ddd")</f>
        <v/>
      </c>
      <c r="C477" s="0">
        <f>IFERROR(INDEX(lunar_ref!$B:$B,MATCH($A477,lunar_ref!$A:$A,0)),"")</f>
        <v/>
      </c>
      <c r="D477" s="0">
        <f>IFERROR(INDEX(lunar_ref!$C:$C,MATCH($A477,lunar_ref!$A:$A,0)),"")</f>
        <v/>
      </c>
      <c r="E477" s="0">
        <f>_xlfn.XLOOKUP($D477,lookup!$A:$A,lookup!$B:$B)</f>
        <v/>
      </c>
      <c r="F477" s="0">
        <f>IF($E477=1,"New",IF($E477=15,"Full",""))</f>
        <v/>
      </c>
      <c r="H477" s="0">
        <f>IF($E477="","",IF(OR($E477=8,$E477=14,$E477=15,$E477=23,$E478=1,$E479=1),"Fast day",""))</f>
        <v/>
      </c>
      <c r="I477" s="0">
        <f>IFERROR(INDEX(lookup!$E:$E,MATCH($C477,lookup!$D:$D,0)),"")</f>
        <v/>
      </c>
      <c r="J477" s="0">
        <f>IF($I477="","",IF(OR($I477=1,$I477=5,$I477=9),IF($K477="","Long fast month","Long fast month (LEAP)"),""))</f>
        <v/>
      </c>
      <c r="K477" s="0">
        <f>IFERROR(IF(INDEX(lookup!$G:$G,MATCH($C477,lookup!$D:$D,0))="LEAP","LEAP MONTH - counts as month "&amp;$I477&amp;", flagged for review",""),"")</f>
        <v/>
      </c>
    </row>
    <row r="478">
      <c r="A478" s="12">
        <f>A477+1</f>
        <v/>
      </c>
      <c r="B478" s="0">
        <f>TEXT(A478,"ddd")</f>
        <v/>
      </c>
      <c r="C478" s="0">
        <f>IFERROR(INDEX(lunar_ref!$B:$B,MATCH($A478,lunar_ref!$A:$A,0)),"")</f>
        <v/>
      </c>
      <c r="D478" s="0">
        <f>IFERROR(INDEX(lunar_ref!$C:$C,MATCH($A478,lunar_ref!$A:$A,0)),"")</f>
        <v/>
      </c>
      <c r="E478" s="0">
        <f>_xlfn.XLOOKUP($D478,lookup!$A:$A,lookup!$B:$B)</f>
        <v/>
      </c>
      <c r="F478" s="0">
        <f>IF($E478=1,"New",IF($E478=15,"Full",""))</f>
        <v/>
      </c>
      <c r="H478" s="0">
        <f>IF($E478="","",IF(OR($E478=8,$E478=14,$E478=15,$E478=23,$E479=1,$E480=1),"Fast day",""))</f>
        <v/>
      </c>
      <c r="I478" s="0">
        <f>IFERROR(INDEX(lookup!$E:$E,MATCH($C478,lookup!$D:$D,0)),"")</f>
        <v/>
      </c>
      <c r="J478" s="0">
        <f>IF($I478="","",IF(OR($I478=1,$I478=5,$I478=9),IF($K478="","Long fast month","Long fast month (LEAP)"),""))</f>
        <v/>
      </c>
      <c r="K478" s="0">
        <f>IFERROR(IF(INDEX(lookup!$G:$G,MATCH($C478,lookup!$D:$D,0))="LEAP","LEAP MONTH - counts as month "&amp;$I478&amp;", flagged for review",""),"")</f>
        <v/>
      </c>
    </row>
    <row r="479">
      <c r="A479" s="12">
        <f>A478+1</f>
        <v/>
      </c>
      <c r="B479" s="0">
        <f>TEXT(A479,"ddd")</f>
        <v/>
      </c>
      <c r="C479" s="0">
        <f>IFERROR(INDEX(lunar_ref!$B:$B,MATCH($A479,lunar_ref!$A:$A,0)),"")</f>
        <v/>
      </c>
      <c r="D479" s="0">
        <f>IFERROR(INDEX(lunar_ref!$C:$C,MATCH($A479,lunar_ref!$A:$A,0)),"")</f>
        <v/>
      </c>
      <c r="E479" s="0">
        <f>_xlfn.XLOOKUP($D479,lookup!$A:$A,lookup!$B:$B)</f>
        <v/>
      </c>
      <c r="F479" s="0">
        <f>IF($E479=1,"New",IF($E479=15,"Full",""))</f>
        <v/>
      </c>
      <c r="H479" s="0">
        <f>IF($E479="","",IF(OR($E479=8,$E479=14,$E479=15,$E479=23,$E480=1,$E481=1),"Fast day",""))</f>
        <v/>
      </c>
      <c r="I479" s="0">
        <f>IFERROR(INDEX(lookup!$E:$E,MATCH($C479,lookup!$D:$D,0)),"")</f>
        <v/>
      </c>
      <c r="J479" s="0">
        <f>IF($I479="","",IF(OR($I479=1,$I479=5,$I479=9),IF($K479="","Long fast month","Long fast month (LEAP)"),""))</f>
        <v/>
      </c>
      <c r="K479" s="0">
        <f>IFERROR(IF(INDEX(lookup!$G:$G,MATCH($C479,lookup!$D:$D,0))="LEAP","LEAP MONTH - counts as month "&amp;$I479&amp;", flagged for review",""),"")</f>
        <v/>
      </c>
    </row>
    <row r="480">
      <c r="A480" s="12">
        <f>A479+1</f>
        <v/>
      </c>
      <c r="B480" s="0">
        <f>TEXT(A480,"ddd")</f>
        <v/>
      </c>
      <c r="C480" s="0">
        <f>IFERROR(INDEX(lunar_ref!$B:$B,MATCH($A480,lunar_ref!$A:$A,0)),"")</f>
        <v/>
      </c>
      <c r="D480" s="0">
        <f>IFERROR(INDEX(lunar_ref!$C:$C,MATCH($A480,lunar_ref!$A:$A,0)),"")</f>
        <v/>
      </c>
      <c r="E480" s="0">
        <f>_xlfn.XLOOKUP($D480,lookup!$A:$A,lookup!$B:$B)</f>
        <v/>
      </c>
      <c r="F480" s="0">
        <f>IF($E480=1,"New",IF($E480=15,"Full",""))</f>
        <v/>
      </c>
      <c r="H480" s="0">
        <f>IF($E480="","",IF(OR($E480=8,$E480=14,$E480=15,$E480=23,$E481=1,$E482=1),"Fast day",""))</f>
        <v/>
      </c>
      <c r="I480" s="0">
        <f>IFERROR(INDEX(lookup!$E:$E,MATCH($C480,lookup!$D:$D,0)),"")</f>
        <v/>
      </c>
      <c r="J480" s="0">
        <f>IF($I480="","",IF(OR($I480=1,$I480=5,$I480=9),IF($K480="","Long fast month","Long fast month (LEAP)"),""))</f>
        <v/>
      </c>
      <c r="K480" s="0">
        <f>IFERROR(IF(INDEX(lookup!$G:$G,MATCH($C480,lookup!$D:$D,0))="LEAP","LEAP MONTH - counts as month "&amp;$I480&amp;", flagged for review",""),"")</f>
        <v/>
      </c>
    </row>
    <row r="481">
      <c r="A481" s="12">
        <f>A480+1</f>
        <v/>
      </c>
      <c r="B481" s="0">
        <f>TEXT(A481,"ddd")</f>
        <v/>
      </c>
      <c r="C481" s="0">
        <f>IFERROR(INDEX(lunar_ref!$B:$B,MATCH($A481,lunar_ref!$A:$A,0)),"")</f>
        <v/>
      </c>
      <c r="D481" s="0">
        <f>IFERROR(INDEX(lunar_ref!$C:$C,MATCH($A481,lunar_ref!$A:$A,0)),"")</f>
        <v/>
      </c>
      <c r="E481" s="0">
        <f>_xlfn.XLOOKUP($D481,lookup!$A:$A,lookup!$B:$B)</f>
        <v/>
      </c>
      <c r="F481" s="0">
        <f>IF($E481=1,"New",IF($E481=15,"Full",""))</f>
        <v/>
      </c>
      <c r="H481" s="0">
        <f>IF($E481="","",IF(OR($E481=8,$E481=14,$E481=15,$E481=23,$E482=1,$E483=1),"Fast day",""))</f>
        <v/>
      </c>
      <c r="I481" s="0">
        <f>IFERROR(INDEX(lookup!$E:$E,MATCH($C481,lookup!$D:$D,0)),"")</f>
        <v/>
      </c>
      <c r="J481" s="0">
        <f>IF($I481="","",IF(OR($I481=1,$I481=5,$I481=9),IF($K481="","Long fast month","Long fast month (LEAP)"),""))</f>
        <v/>
      </c>
      <c r="K481" s="0">
        <f>IFERROR(IF(INDEX(lookup!$G:$G,MATCH($C481,lookup!$D:$D,0))="LEAP","LEAP MONTH - counts as month "&amp;$I481&amp;", flagged for review",""),"")</f>
        <v/>
      </c>
    </row>
    <row r="482">
      <c r="A482" s="12">
        <f>A481+1</f>
        <v/>
      </c>
      <c r="B482" s="0">
        <f>TEXT(A482,"ddd")</f>
        <v/>
      </c>
      <c r="C482" s="0">
        <f>IFERROR(INDEX(lunar_ref!$B:$B,MATCH($A482,lunar_ref!$A:$A,0)),"")</f>
        <v/>
      </c>
      <c r="D482" s="0">
        <f>IFERROR(INDEX(lunar_ref!$C:$C,MATCH($A482,lunar_ref!$A:$A,0)),"")</f>
        <v/>
      </c>
      <c r="E482" s="0">
        <f>_xlfn.XLOOKUP($D482,lookup!$A:$A,lookup!$B:$B)</f>
        <v/>
      </c>
      <c r="F482" s="0">
        <f>IF($E482=1,"New",IF($E482=15,"Full",""))</f>
        <v/>
      </c>
      <c r="H482" s="0">
        <f>IF($E482="","",IF(OR($E482=8,$E482=14,$E482=15,$E482=23,$E483=1,$E484=1),"Fast day",""))</f>
        <v/>
      </c>
      <c r="I482" s="0">
        <f>IFERROR(INDEX(lookup!$E:$E,MATCH($C482,lookup!$D:$D,0)),"")</f>
        <v/>
      </c>
      <c r="J482" s="0">
        <f>IF($I482="","",IF(OR($I482=1,$I482=5,$I482=9),IF($K482="","Long fast month","Long fast month (LEAP)"),""))</f>
        <v/>
      </c>
      <c r="K482" s="0">
        <f>IFERROR(IF(INDEX(lookup!$G:$G,MATCH($C482,lookup!$D:$D,0))="LEAP","LEAP MONTH - counts as month "&amp;$I482&amp;", flagged for review",""),"")</f>
        <v/>
      </c>
    </row>
    <row r="483">
      <c r="A483" s="12">
        <f>A482+1</f>
        <v/>
      </c>
      <c r="B483" s="0">
        <f>TEXT(A483,"ddd")</f>
        <v/>
      </c>
      <c r="C483" s="0">
        <f>IFERROR(INDEX(lunar_ref!$B:$B,MATCH($A483,lunar_ref!$A:$A,0)),"")</f>
        <v/>
      </c>
      <c r="D483" s="0">
        <f>IFERROR(INDEX(lunar_ref!$C:$C,MATCH($A483,lunar_ref!$A:$A,0)),"")</f>
        <v/>
      </c>
      <c r="E483" s="0">
        <f>_xlfn.XLOOKUP($D483,lookup!$A:$A,lookup!$B:$B)</f>
        <v/>
      </c>
      <c r="F483" s="0">
        <f>IF($E483=1,"New",IF($E483=15,"Full",""))</f>
        <v/>
      </c>
      <c r="H483" s="0">
        <f>IF($E483="","",IF(OR($E483=8,$E483=14,$E483=15,$E483=23,$E484=1,$E485=1),"Fast day",""))</f>
        <v/>
      </c>
      <c r="I483" s="0">
        <f>IFERROR(INDEX(lookup!$E:$E,MATCH($C483,lookup!$D:$D,0)),"")</f>
        <v/>
      </c>
      <c r="J483" s="0">
        <f>IF($I483="","",IF(OR($I483=1,$I483=5,$I483=9),IF($K483="","Long fast month","Long fast month (LEAP)"),""))</f>
        <v/>
      </c>
      <c r="K483" s="0">
        <f>IFERROR(IF(INDEX(lookup!$G:$G,MATCH($C483,lookup!$D:$D,0))="LEAP","LEAP MONTH - counts as month "&amp;$I483&amp;", flagged for review",""),"")</f>
        <v/>
      </c>
    </row>
    <row r="484">
      <c r="A484" s="12">
        <f>A483+1</f>
        <v/>
      </c>
      <c r="B484" s="0">
        <f>TEXT(A484,"ddd")</f>
        <v/>
      </c>
      <c r="C484" s="0">
        <f>IFERROR(INDEX(lunar_ref!$B:$B,MATCH($A484,lunar_ref!$A:$A,0)),"")</f>
        <v/>
      </c>
      <c r="D484" s="0">
        <f>IFERROR(INDEX(lunar_ref!$C:$C,MATCH($A484,lunar_ref!$A:$A,0)),"")</f>
        <v/>
      </c>
      <c r="E484" s="0">
        <f>_xlfn.XLOOKUP($D484,lookup!$A:$A,lookup!$B:$B)</f>
        <v/>
      </c>
      <c r="F484" s="0">
        <f>IF($E484=1,"New",IF($E484=15,"Full",""))</f>
        <v/>
      </c>
      <c r="H484" s="0">
        <f>IF($E484="","",IF(OR($E484=8,$E484=14,$E484=15,$E484=23,$E485=1,$E486=1),"Fast day",""))</f>
        <v/>
      </c>
      <c r="I484" s="0">
        <f>IFERROR(INDEX(lookup!$E:$E,MATCH($C484,lookup!$D:$D,0)),"")</f>
        <v/>
      </c>
      <c r="J484" s="0">
        <f>IF($I484="","",IF(OR($I484=1,$I484=5,$I484=9),IF($K484="","Long fast month","Long fast month (LEAP)"),""))</f>
        <v/>
      </c>
      <c r="K484" s="0">
        <f>IFERROR(IF(INDEX(lookup!$G:$G,MATCH($C484,lookup!$D:$D,0))="LEAP","LEAP MONTH - counts as month "&amp;$I484&amp;", flagged for review",""),"")</f>
        <v/>
      </c>
    </row>
    <row r="485">
      <c r="A485" s="12">
        <f>A484+1</f>
        <v/>
      </c>
      <c r="B485" s="0">
        <f>TEXT(A485,"ddd")</f>
        <v/>
      </c>
      <c r="C485" s="0">
        <f>IFERROR(INDEX(lunar_ref!$B:$B,MATCH($A485,lunar_ref!$A:$A,0)),"")</f>
        <v/>
      </c>
      <c r="D485" s="0">
        <f>IFERROR(INDEX(lunar_ref!$C:$C,MATCH($A485,lunar_ref!$A:$A,0)),"")</f>
        <v/>
      </c>
      <c r="E485" s="0">
        <f>_xlfn.XLOOKUP($D485,lookup!$A:$A,lookup!$B:$B)</f>
        <v/>
      </c>
      <c r="F485" s="0">
        <f>IF($E485=1,"New",IF($E485=15,"Full",""))</f>
        <v/>
      </c>
      <c r="H485" s="0">
        <f>IF($E485="","",IF(OR($E485=8,$E485=14,$E485=15,$E485=23,$E486=1,$E487=1),"Fast day",""))</f>
        <v/>
      </c>
      <c r="I485" s="0">
        <f>IFERROR(INDEX(lookup!$E:$E,MATCH($C485,lookup!$D:$D,0)),"")</f>
        <v/>
      </c>
      <c r="J485" s="0">
        <f>IF($I485="","",IF(OR($I485=1,$I485=5,$I485=9),IF($K485="","Long fast month","Long fast month (LEAP)"),""))</f>
        <v/>
      </c>
      <c r="K485" s="0">
        <f>IFERROR(IF(INDEX(lookup!$G:$G,MATCH($C485,lookup!$D:$D,0))="LEAP","LEAP MONTH - counts as month "&amp;$I485&amp;", flagged for review",""),"")</f>
        <v/>
      </c>
    </row>
    <row r="486">
      <c r="A486" s="12">
        <f>A485+1</f>
        <v/>
      </c>
      <c r="B486" s="0">
        <f>TEXT(A486,"ddd")</f>
        <v/>
      </c>
      <c r="C486" s="0">
        <f>IFERROR(INDEX(lunar_ref!$B:$B,MATCH($A486,lunar_ref!$A:$A,0)),"")</f>
        <v/>
      </c>
      <c r="D486" s="0">
        <f>IFERROR(INDEX(lunar_ref!$C:$C,MATCH($A486,lunar_ref!$A:$A,0)),"")</f>
        <v/>
      </c>
      <c r="E486" s="0">
        <f>_xlfn.XLOOKUP($D486,lookup!$A:$A,lookup!$B:$B)</f>
        <v/>
      </c>
      <c r="F486" s="0">
        <f>IF($E486=1,"New",IF($E486=15,"Full",""))</f>
        <v/>
      </c>
      <c r="H486" s="0">
        <f>IF($E486="","",IF(OR($E486=8,$E486=14,$E486=15,$E486=23,$E487=1,$E488=1),"Fast day",""))</f>
        <v/>
      </c>
      <c r="I486" s="0">
        <f>IFERROR(INDEX(lookup!$E:$E,MATCH($C486,lookup!$D:$D,0)),"")</f>
        <v/>
      </c>
      <c r="J486" s="0">
        <f>IF($I486="","",IF(OR($I486=1,$I486=5,$I486=9),IF($K486="","Long fast month","Long fast month (LEAP)"),""))</f>
        <v/>
      </c>
      <c r="K486" s="0">
        <f>IFERROR(IF(INDEX(lookup!$G:$G,MATCH($C486,lookup!$D:$D,0))="LEAP","LEAP MONTH - counts as month "&amp;$I486&amp;", flagged for review",""),"")</f>
        <v/>
      </c>
    </row>
    <row r="487">
      <c r="A487" s="12">
        <f>A486+1</f>
        <v/>
      </c>
      <c r="B487" s="0">
        <f>TEXT(A487,"ddd")</f>
        <v/>
      </c>
      <c r="C487" s="0">
        <f>IFERROR(INDEX(lunar_ref!$B:$B,MATCH($A487,lunar_ref!$A:$A,0)),"")</f>
        <v/>
      </c>
      <c r="D487" s="0">
        <f>IFERROR(INDEX(lunar_ref!$C:$C,MATCH($A487,lunar_ref!$A:$A,0)),"")</f>
        <v/>
      </c>
      <c r="E487" s="0">
        <f>_xlfn.XLOOKUP($D487,lookup!$A:$A,lookup!$B:$B)</f>
        <v/>
      </c>
      <c r="F487" s="0">
        <f>IF($E487=1,"New",IF($E487=15,"Full",""))</f>
        <v/>
      </c>
      <c r="H487" s="0">
        <f>IF($E487="","",IF(OR($E487=8,$E487=14,$E487=15,$E487=23,$E488=1,$E489=1),"Fast day",""))</f>
        <v/>
      </c>
      <c r="I487" s="0">
        <f>IFERROR(INDEX(lookup!$E:$E,MATCH($C487,lookup!$D:$D,0)),"")</f>
        <v/>
      </c>
      <c r="J487" s="0">
        <f>IF($I487="","",IF(OR($I487=1,$I487=5,$I487=9),IF($K487="","Long fast month","Long fast month (LEAP)"),""))</f>
        <v/>
      </c>
      <c r="K487" s="0">
        <f>IFERROR(IF(INDEX(lookup!$G:$G,MATCH($C487,lookup!$D:$D,0))="LEAP","LEAP MONTH - counts as month "&amp;$I487&amp;", flagged for review",""),"")</f>
        <v/>
      </c>
    </row>
    <row r="488">
      <c r="A488" s="12">
        <f>A487+1</f>
        <v/>
      </c>
      <c r="B488" s="0">
        <f>TEXT(A488,"ddd")</f>
        <v/>
      </c>
      <c r="C488" s="0">
        <f>IFERROR(INDEX(lunar_ref!$B:$B,MATCH($A488,lunar_ref!$A:$A,0)),"")</f>
        <v/>
      </c>
      <c r="D488" s="0">
        <f>IFERROR(INDEX(lunar_ref!$C:$C,MATCH($A488,lunar_ref!$A:$A,0)),"")</f>
        <v/>
      </c>
      <c r="E488" s="0">
        <f>_xlfn.XLOOKUP($D488,lookup!$A:$A,lookup!$B:$B)</f>
        <v/>
      </c>
      <c r="F488" s="0">
        <f>IF($E488=1,"New",IF($E488=15,"Full",""))</f>
        <v/>
      </c>
      <c r="H488" s="0">
        <f>IF($E488="","",IF(OR($E488=8,$E488=14,$E488=15,$E488=23,$E489=1,$E490=1),"Fast day",""))</f>
        <v/>
      </c>
      <c r="I488" s="0">
        <f>IFERROR(INDEX(lookup!$E:$E,MATCH($C488,lookup!$D:$D,0)),"")</f>
        <v/>
      </c>
      <c r="J488" s="0">
        <f>IF($I488="","",IF(OR($I488=1,$I488=5,$I488=9),IF($K488="","Long fast month","Long fast month (LEAP)"),""))</f>
        <v/>
      </c>
      <c r="K488" s="0">
        <f>IFERROR(IF(INDEX(lookup!$G:$G,MATCH($C488,lookup!$D:$D,0))="LEAP","LEAP MONTH - counts as month "&amp;$I488&amp;", flagged for review",""),"")</f>
        <v/>
      </c>
    </row>
    <row r="489">
      <c r="A489" s="12">
        <f>A488+1</f>
        <v/>
      </c>
      <c r="B489" s="0">
        <f>TEXT(A489,"ddd")</f>
        <v/>
      </c>
      <c r="C489" s="0">
        <f>IFERROR(INDEX(lunar_ref!$B:$B,MATCH($A489,lunar_ref!$A:$A,0)),"")</f>
        <v/>
      </c>
      <c r="D489" s="0">
        <f>IFERROR(INDEX(lunar_ref!$C:$C,MATCH($A489,lunar_ref!$A:$A,0)),"")</f>
        <v/>
      </c>
      <c r="E489" s="0">
        <f>_xlfn.XLOOKUP($D489,lookup!$A:$A,lookup!$B:$B)</f>
        <v/>
      </c>
      <c r="F489" s="0">
        <f>IF($E489=1,"New",IF($E489=15,"Full",""))</f>
        <v/>
      </c>
      <c r="H489" s="0">
        <f>IF($E489="","",IF(OR($E489=8,$E489=14,$E489=15,$E489=23,$E490=1,$E491=1),"Fast day",""))</f>
        <v/>
      </c>
      <c r="I489" s="0">
        <f>IFERROR(INDEX(lookup!$E:$E,MATCH($C489,lookup!$D:$D,0)),"")</f>
        <v/>
      </c>
      <c r="J489" s="0">
        <f>IF($I489="","",IF(OR($I489=1,$I489=5,$I489=9),IF($K489="","Long fast month","Long fast month (LEAP)"),""))</f>
        <v/>
      </c>
      <c r="K489" s="0">
        <f>IFERROR(IF(INDEX(lookup!$G:$G,MATCH($C489,lookup!$D:$D,0))="LEAP","LEAP MONTH - counts as month "&amp;$I489&amp;", flagged for review",""),"")</f>
        <v/>
      </c>
    </row>
    <row r="490">
      <c r="A490" s="12">
        <f>A489+1</f>
        <v/>
      </c>
      <c r="B490" s="0">
        <f>TEXT(A490,"ddd")</f>
        <v/>
      </c>
      <c r="C490" s="0">
        <f>IFERROR(INDEX(lunar_ref!$B:$B,MATCH($A490,lunar_ref!$A:$A,0)),"")</f>
        <v/>
      </c>
      <c r="D490" s="0">
        <f>IFERROR(INDEX(lunar_ref!$C:$C,MATCH($A490,lunar_ref!$A:$A,0)),"")</f>
        <v/>
      </c>
      <c r="E490" s="0">
        <f>_xlfn.XLOOKUP($D490,lookup!$A:$A,lookup!$B:$B)</f>
        <v/>
      </c>
      <c r="F490" s="0">
        <f>IF($E490=1,"New",IF($E490=15,"Full",""))</f>
        <v/>
      </c>
      <c r="H490" s="0">
        <f>IF($E490="","",IF(OR($E490=8,$E490=14,$E490=15,$E490=23,$E491=1,$E492=1),"Fast day",""))</f>
        <v/>
      </c>
      <c r="I490" s="0">
        <f>IFERROR(INDEX(lookup!$E:$E,MATCH($C490,lookup!$D:$D,0)),"")</f>
        <v/>
      </c>
      <c r="J490" s="0">
        <f>IF($I490="","",IF(OR($I490=1,$I490=5,$I490=9),IF($K490="","Long fast month","Long fast month (LEAP)"),""))</f>
        <v/>
      </c>
      <c r="K490" s="0">
        <f>IFERROR(IF(INDEX(lookup!$G:$G,MATCH($C490,lookup!$D:$D,0))="LEAP","LEAP MONTH - counts as month "&amp;$I490&amp;", flagged for review",""),"")</f>
        <v/>
      </c>
    </row>
    <row r="491">
      <c r="A491" s="12">
        <f>A490+1</f>
        <v/>
      </c>
      <c r="B491" s="0">
        <f>TEXT(A491,"ddd")</f>
        <v/>
      </c>
      <c r="C491" s="0">
        <f>IFERROR(INDEX(lunar_ref!$B:$B,MATCH($A491,lunar_ref!$A:$A,0)),"")</f>
        <v/>
      </c>
      <c r="D491" s="0">
        <f>IFERROR(INDEX(lunar_ref!$C:$C,MATCH($A491,lunar_ref!$A:$A,0)),"")</f>
        <v/>
      </c>
      <c r="E491" s="0">
        <f>_xlfn.XLOOKUP($D491,lookup!$A:$A,lookup!$B:$B)</f>
        <v/>
      </c>
      <c r="F491" s="0">
        <f>IF($E491=1,"New",IF($E491=15,"Full",""))</f>
        <v/>
      </c>
      <c r="H491" s="0">
        <f>IF($E491="","",IF(OR($E491=8,$E491=14,$E491=15,$E491=23,$E492=1,$E493=1),"Fast day",""))</f>
        <v/>
      </c>
      <c r="I491" s="0">
        <f>IFERROR(INDEX(lookup!$E:$E,MATCH($C491,lookup!$D:$D,0)),"")</f>
        <v/>
      </c>
      <c r="J491" s="0">
        <f>IF($I491="","",IF(OR($I491=1,$I491=5,$I491=9),IF($K491="","Long fast month","Long fast month (LEAP)"),""))</f>
        <v/>
      </c>
      <c r="K491" s="0">
        <f>IFERROR(IF(INDEX(lookup!$G:$G,MATCH($C491,lookup!$D:$D,0))="LEAP","LEAP MONTH - counts as month "&amp;$I491&amp;", flagged for review",""),"")</f>
        <v/>
      </c>
    </row>
    <row r="492">
      <c r="A492" s="12">
        <f>A491+1</f>
        <v/>
      </c>
      <c r="B492" s="0">
        <f>TEXT(A492,"ddd")</f>
        <v/>
      </c>
      <c r="C492" s="0">
        <f>IFERROR(INDEX(lunar_ref!$B:$B,MATCH($A492,lunar_ref!$A:$A,0)),"")</f>
        <v/>
      </c>
      <c r="D492" s="0">
        <f>IFERROR(INDEX(lunar_ref!$C:$C,MATCH($A492,lunar_ref!$A:$A,0)),"")</f>
        <v/>
      </c>
      <c r="E492" s="0">
        <f>_xlfn.XLOOKUP($D492,lookup!$A:$A,lookup!$B:$B)</f>
        <v/>
      </c>
      <c r="F492" s="0">
        <f>IF($E492=1,"New",IF($E492=15,"Full",""))</f>
        <v/>
      </c>
      <c r="H492" s="0">
        <f>IF($E492="","",IF(OR($E492=8,$E492=14,$E492=15,$E492=23,$E493=1,$E494=1),"Fast day",""))</f>
        <v/>
      </c>
      <c r="I492" s="0">
        <f>IFERROR(INDEX(lookup!$E:$E,MATCH($C492,lookup!$D:$D,0)),"")</f>
        <v/>
      </c>
      <c r="J492" s="0">
        <f>IF($I492="","",IF(OR($I492=1,$I492=5,$I492=9),IF($K492="","Long fast month","Long fast month (LEAP)"),""))</f>
        <v/>
      </c>
      <c r="K492" s="0">
        <f>IFERROR(IF(INDEX(lookup!$G:$G,MATCH($C492,lookup!$D:$D,0))="LEAP","LEAP MONTH - counts as month "&amp;$I492&amp;", flagged for review",""),"")</f>
        <v/>
      </c>
    </row>
    <row r="493">
      <c r="A493" s="12">
        <f>A492+1</f>
        <v/>
      </c>
      <c r="B493" s="0">
        <f>TEXT(A493,"ddd")</f>
        <v/>
      </c>
      <c r="C493" s="0">
        <f>IFERROR(INDEX(lunar_ref!$B:$B,MATCH($A493,lunar_ref!$A:$A,0)),"")</f>
        <v/>
      </c>
      <c r="D493" s="0">
        <f>IFERROR(INDEX(lunar_ref!$C:$C,MATCH($A493,lunar_ref!$A:$A,0)),"")</f>
        <v/>
      </c>
      <c r="E493" s="0">
        <f>_xlfn.XLOOKUP($D493,lookup!$A:$A,lookup!$B:$B)</f>
        <v/>
      </c>
      <c r="F493" s="0">
        <f>IF($E493=1,"New",IF($E493=15,"Full",""))</f>
        <v/>
      </c>
      <c r="H493" s="0">
        <f>IF($E493="","",IF(OR($E493=8,$E493=14,$E493=15,$E493=23,$E494=1,$E495=1),"Fast day",""))</f>
        <v/>
      </c>
      <c r="I493" s="0">
        <f>IFERROR(INDEX(lookup!$E:$E,MATCH($C493,lookup!$D:$D,0)),"")</f>
        <v/>
      </c>
      <c r="J493" s="0">
        <f>IF($I493="","",IF(OR($I493=1,$I493=5,$I493=9),IF($K493="","Long fast month","Long fast month (LEAP)"),""))</f>
        <v/>
      </c>
      <c r="K493" s="0">
        <f>IFERROR(IF(INDEX(lookup!$G:$G,MATCH($C493,lookup!$D:$D,0))="LEAP","LEAP MONTH - counts as month "&amp;$I493&amp;", flagged for review",""),"")</f>
        <v/>
      </c>
    </row>
    <row r="494">
      <c r="A494" s="12">
        <f>A493+1</f>
        <v/>
      </c>
      <c r="B494" s="0">
        <f>TEXT(A494,"ddd")</f>
        <v/>
      </c>
      <c r="C494" s="0">
        <f>IFERROR(INDEX(lunar_ref!$B:$B,MATCH($A494,lunar_ref!$A:$A,0)),"")</f>
        <v/>
      </c>
      <c r="D494" s="0">
        <f>IFERROR(INDEX(lunar_ref!$C:$C,MATCH($A494,lunar_ref!$A:$A,0)),"")</f>
        <v/>
      </c>
      <c r="E494" s="0">
        <f>_xlfn.XLOOKUP($D494,lookup!$A:$A,lookup!$B:$B)</f>
        <v/>
      </c>
      <c r="F494" s="0">
        <f>IF($E494=1,"New",IF($E494=15,"Full",""))</f>
        <v/>
      </c>
      <c r="H494" s="0">
        <f>IF($E494="","",IF(OR($E494=8,$E494=14,$E494=15,$E494=23,$E495=1,leap_preview!$E2=1),"Fast day",""))</f>
        <v/>
      </c>
      <c r="I494" s="0">
        <f>IFERROR(INDEX(lookup!$E:$E,MATCH($C494,lookup!$D:$D,0)),"")</f>
        <v/>
      </c>
      <c r="J494" s="0">
        <f>IF($I494="","",IF(OR($I494=1,$I494=5,$I494=9),IF($K494="","Long fast month","Long fast month (LEAP)"),""))</f>
        <v/>
      </c>
      <c r="K494" s="0">
        <f>IFERROR(IF(INDEX(lookup!$G:$G,MATCH($C494,lookup!$D:$D,0))="LEAP","LEAP MONTH - counts as month "&amp;$I494&amp;", flagged for review",""),"")</f>
        <v/>
      </c>
    </row>
    <row r="495">
      <c r="A495" s="12">
        <f>A494+1</f>
        <v/>
      </c>
      <c r="B495" s="0">
        <f>TEXT(A495,"ddd")</f>
        <v/>
      </c>
      <c r="C495" s="0">
        <f>IFERROR(INDEX(lunar_ref!$B:$B,MATCH($A495,lunar_ref!$A:$A,0)),"")</f>
        <v/>
      </c>
      <c r="D495" s="0">
        <f>IFERROR(INDEX(lunar_ref!$C:$C,MATCH($A495,lunar_ref!$A:$A,0)),"")</f>
        <v/>
      </c>
      <c r="E495" s="0">
        <f>_xlfn.XLOOKUP($D495,lookup!$A:$A,lookup!$B:$B)</f>
        <v/>
      </c>
      <c r="F495" s="0">
        <f>IF($E495=1,"New",IF($E495=15,"Full",""))</f>
        <v/>
      </c>
      <c r="H495" s="0">
        <f>IF($E495="","",IF(OR($E495=8,$E495=14,$E495=15,$E495=23,leap_preview!$E2=1,leap_preview!$E3=1),"Fast day",""))</f>
        <v/>
      </c>
      <c r="I495" s="0">
        <f>IFERROR(INDEX(lookup!$E:$E,MATCH($C495,lookup!$D:$D,0)),"")</f>
        <v/>
      </c>
      <c r="J495" s="0">
        <f>IF($I495="","",IF(OR($I495=1,$I495=5,$I495=9),IF($K495="","Long fast month","Long fast month (LEAP)"),""))</f>
        <v/>
      </c>
      <c r="K495" s="0">
        <f>IFERROR(IF(INDEX(lookup!$G:$G,MATCH($C495,lookup!$D:$D,0))="LEAP","LEAP MONTH - counts as month "&amp;$I495&amp;", flagged for review",""),"")</f>
        <v/>
      </c>
    </row>
  </sheetData>
  <conditionalFormatting sqref="A2:K495">
    <cfRule type="expression" priority="2" dxfId="1" stopIfTrue="0">
      <formula>$K2&lt;&gt;""</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66"/>
  <sheetViews>
    <sheetView workbookViewId="0">
      <selection activeCell="A1" sqref="A1"/>
    </sheetView>
  </sheetViews>
  <sheetFormatPr baseColWidth="8" defaultRowHeight="15"/>
  <cols>
    <col width="12" customWidth="1" style="10" min="1" max="1"/>
    <col width="12" customWidth="1" style="10" min="3" max="3"/>
    <col width="14" customWidth="1" style="10" min="8" max="8"/>
    <col width="16" customWidth="1" style="10" min="9" max="9"/>
    <col width="24" customWidth="1" style="10" min="10" max="10"/>
    <col width="46" customWidth="1" style="10" min="11" max="11"/>
  </cols>
  <sheetData>
    <row r="1">
      <c r="A1" s="11" t="inlineStr">
        <is>
          <t>date</t>
        </is>
      </c>
      <c r="B1" s="11" t="inlineStr">
        <is>
          <t>weekday</t>
        </is>
      </c>
      <c r="C1" s="11" t="inlineStr">
        <is>
          <t>lunar_month</t>
        </is>
      </c>
      <c r="D1" s="11" t="inlineStr">
        <is>
          <t>lunar_day</t>
        </is>
      </c>
      <c r="E1" s="11" t="inlineStr">
        <is>
          <t>lunar_day_eng</t>
        </is>
      </c>
      <c r="F1" s="11" t="inlineStr">
        <is>
          <t>moon_phase</t>
        </is>
      </c>
      <c r="G1" s="11" t="inlineStr">
        <is>
          <t>dharma_event</t>
        </is>
      </c>
      <c r="H1" s="11" t="inlineStr">
        <is>
          <t>六齋日</t>
        </is>
      </c>
      <c r="I1" s="11" t="inlineStr">
        <is>
          <t>lunar_month_eng</t>
        </is>
      </c>
      <c r="J1" s="11" t="inlineStr">
        <is>
          <t>三長齋月</t>
        </is>
      </c>
      <c r="K1" s="11" t="inlineStr">
        <is>
          <t>leap_month</t>
        </is>
      </c>
    </row>
    <row r="2">
      <c r="A2" s="12">
        <f>hko_extended!A495+1</f>
        <v/>
      </c>
      <c r="B2" s="0">
        <f>TEXT(A2,"ddd")</f>
        <v/>
      </c>
      <c r="C2" s="0">
        <f>IFERROR(INDEX(lunar_ref!$B:$B,MATCH($A2,lunar_ref!$A:$A,0)),"")</f>
        <v/>
      </c>
      <c r="D2" s="0">
        <f>IFERROR(INDEX(lunar_ref!$C:$C,MATCH($A2,lunar_ref!$A:$A,0)),"")</f>
        <v/>
      </c>
      <c r="E2" s="0">
        <f>_xlfn.XLOOKUP($D2,lookup!$A:$A,lookup!$B:$B)</f>
        <v/>
      </c>
      <c r="F2" s="0">
        <f>IF($E2=1,"New",IF($E2=15,"Full",""))</f>
        <v/>
      </c>
      <c r="H2" s="0">
        <f>IF($E2="","",IF(OR($E2=8,$E2=14,$E2=15,$E2=23,$E3=1,$E4=1),"Fast day",""))</f>
        <v/>
      </c>
      <c r="I2" s="0">
        <f>IFERROR(INDEX(lookup!$E:$E,MATCH($C2,lookup!$D:$D,0)),"")</f>
        <v/>
      </c>
      <c r="J2" s="0">
        <f>IF($I2="","",IF(OR($I2=1,$I2=5,$I2=9),IF($K2="","Long fast month","Long fast month (LEAP)"),""))</f>
        <v/>
      </c>
      <c r="K2" s="0">
        <f>IFERROR(IF(INDEX(lookup!$G:$G,MATCH($C2,lookup!$D:$D,0))="LEAP","LEAP MONTH - counts as month "&amp;$I2&amp;", flagged for review",""),"")</f>
        <v/>
      </c>
    </row>
    <row r="3">
      <c r="A3" s="12">
        <f>A2+1</f>
        <v/>
      </c>
      <c r="B3" s="0">
        <f>TEXT(A3,"ddd")</f>
        <v/>
      </c>
      <c r="C3" s="0">
        <f>IFERROR(INDEX(lunar_ref!$B:$B,MATCH($A3,lunar_ref!$A:$A,0)),"")</f>
        <v/>
      </c>
      <c r="D3" s="0">
        <f>IFERROR(INDEX(lunar_ref!$C:$C,MATCH($A3,lunar_ref!$A:$A,0)),"")</f>
        <v/>
      </c>
      <c r="E3" s="0">
        <f>_xlfn.XLOOKUP($D3,lookup!$A:$A,lookup!$B:$B)</f>
        <v/>
      </c>
      <c r="F3" s="0">
        <f>IF($E3=1,"New",IF($E3=15,"Full",""))</f>
        <v/>
      </c>
      <c r="H3" s="0">
        <f>IF($E3="","",IF(OR($E3=8,$E3=14,$E3=15,$E3=23,$E4=1,$E5=1),"Fast day",""))</f>
        <v/>
      </c>
      <c r="I3" s="0">
        <f>IFERROR(INDEX(lookup!$E:$E,MATCH($C3,lookup!$D:$D,0)),"")</f>
        <v/>
      </c>
      <c r="J3" s="0">
        <f>IF($I3="","",IF(OR($I3=1,$I3=5,$I3=9),IF($K3="","Long fast month","Long fast month (LEAP)"),""))</f>
        <v/>
      </c>
      <c r="K3" s="0">
        <f>IFERROR(IF(INDEX(lookup!$G:$G,MATCH($C3,lookup!$D:$D,0))="LEAP","LEAP MONTH - counts as month "&amp;$I3&amp;", flagged for review",""),"")</f>
        <v/>
      </c>
    </row>
    <row r="4">
      <c r="A4" s="12">
        <f>A3+1</f>
        <v/>
      </c>
      <c r="B4" s="0">
        <f>TEXT(A4,"ddd")</f>
        <v/>
      </c>
      <c r="C4" s="0">
        <f>IFERROR(INDEX(lunar_ref!$B:$B,MATCH($A4,lunar_ref!$A:$A,0)),"")</f>
        <v/>
      </c>
      <c r="D4" s="0">
        <f>IFERROR(INDEX(lunar_ref!$C:$C,MATCH($A4,lunar_ref!$A:$A,0)),"")</f>
        <v/>
      </c>
      <c r="E4" s="0">
        <f>_xlfn.XLOOKUP($D4,lookup!$A:$A,lookup!$B:$B)</f>
        <v/>
      </c>
      <c r="F4" s="0">
        <f>IF($E4=1,"New",IF($E4=15,"Full",""))</f>
        <v/>
      </c>
      <c r="H4" s="0">
        <f>IF($E4="","",IF(OR($E4=8,$E4=14,$E4=15,$E4=23,$E5=1,$E6=1),"Fast day",""))</f>
        <v/>
      </c>
      <c r="I4" s="0">
        <f>IFERROR(INDEX(lookup!$E:$E,MATCH($C4,lookup!$D:$D,0)),"")</f>
        <v/>
      </c>
      <c r="J4" s="0">
        <f>IF($I4="","",IF(OR($I4=1,$I4=5,$I4=9),IF($K4="","Long fast month","Long fast month (LEAP)"),""))</f>
        <v/>
      </c>
      <c r="K4" s="0">
        <f>IFERROR(IF(INDEX(lookup!$G:$G,MATCH($C4,lookup!$D:$D,0))="LEAP","LEAP MONTH - counts as month "&amp;$I4&amp;", flagged for review",""),"")</f>
        <v/>
      </c>
    </row>
    <row r="5">
      <c r="A5" s="12">
        <f>A4+1</f>
        <v/>
      </c>
      <c r="B5" s="0">
        <f>TEXT(A5,"ddd")</f>
        <v/>
      </c>
      <c r="C5" s="0">
        <f>IFERROR(INDEX(lunar_ref!$B:$B,MATCH($A5,lunar_ref!$A:$A,0)),"")</f>
        <v/>
      </c>
      <c r="D5" s="0">
        <f>IFERROR(INDEX(lunar_ref!$C:$C,MATCH($A5,lunar_ref!$A:$A,0)),"")</f>
        <v/>
      </c>
      <c r="E5" s="0">
        <f>_xlfn.XLOOKUP($D5,lookup!$A:$A,lookup!$B:$B)</f>
        <v/>
      </c>
      <c r="F5" s="0">
        <f>IF($E5=1,"New",IF($E5=15,"Full",""))</f>
        <v/>
      </c>
      <c r="H5" s="0">
        <f>IF($E5="","",IF(OR($E5=8,$E5=14,$E5=15,$E5=23,$E6=1,$E7=1),"Fast day",""))</f>
        <v/>
      </c>
      <c r="I5" s="0">
        <f>IFERROR(INDEX(lookup!$E:$E,MATCH($C5,lookup!$D:$D,0)),"")</f>
        <v/>
      </c>
      <c r="J5" s="0">
        <f>IF($I5="","",IF(OR($I5=1,$I5=5,$I5=9),IF($K5="","Long fast month","Long fast month (LEAP)"),""))</f>
        <v/>
      </c>
      <c r="K5" s="0">
        <f>IFERROR(IF(INDEX(lookup!$G:$G,MATCH($C5,lookup!$D:$D,0))="LEAP","LEAP MONTH - counts as month "&amp;$I5&amp;", flagged for review",""),"")</f>
        <v/>
      </c>
    </row>
    <row r="6">
      <c r="A6" s="12">
        <f>A5+1</f>
        <v/>
      </c>
      <c r="B6" s="0">
        <f>TEXT(A6,"ddd")</f>
        <v/>
      </c>
      <c r="C6" s="0">
        <f>IFERROR(INDEX(lunar_ref!$B:$B,MATCH($A6,lunar_ref!$A:$A,0)),"")</f>
        <v/>
      </c>
      <c r="D6" s="0">
        <f>IFERROR(INDEX(lunar_ref!$C:$C,MATCH($A6,lunar_ref!$A:$A,0)),"")</f>
        <v/>
      </c>
      <c r="E6" s="0">
        <f>_xlfn.XLOOKUP($D6,lookup!$A:$A,lookup!$B:$B)</f>
        <v/>
      </c>
      <c r="F6" s="0">
        <f>IF($E6=1,"New",IF($E6=15,"Full",""))</f>
        <v/>
      </c>
      <c r="H6" s="0">
        <f>IF($E6="","",IF(OR($E6=8,$E6=14,$E6=15,$E6=23,$E7=1,$E8=1),"Fast day",""))</f>
        <v/>
      </c>
      <c r="I6" s="0">
        <f>IFERROR(INDEX(lookup!$E:$E,MATCH($C6,lookup!$D:$D,0)),"")</f>
        <v/>
      </c>
      <c r="J6" s="0">
        <f>IF($I6="","",IF(OR($I6=1,$I6=5,$I6=9),IF($K6="","Long fast month","Long fast month (LEAP)"),""))</f>
        <v/>
      </c>
      <c r="K6" s="0">
        <f>IFERROR(IF(INDEX(lookup!$G:$G,MATCH($C6,lookup!$D:$D,0))="LEAP","LEAP MONTH - counts as month "&amp;$I6&amp;", flagged for review",""),"")</f>
        <v/>
      </c>
    </row>
    <row r="7">
      <c r="A7" s="12">
        <f>A6+1</f>
        <v/>
      </c>
      <c r="B7" s="0">
        <f>TEXT(A7,"ddd")</f>
        <v/>
      </c>
      <c r="C7" s="0">
        <f>IFERROR(INDEX(lunar_ref!$B:$B,MATCH($A7,lunar_ref!$A:$A,0)),"")</f>
        <v/>
      </c>
      <c r="D7" s="0">
        <f>IFERROR(INDEX(lunar_ref!$C:$C,MATCH($A7,lunar_ref!$A:$A,0)),"")</f>
        <v/>
      </c>
      <c r="E7" s="0">
        <f>_xlfn.XLOOKUP($D7,lookup!$A:$A,lookup!$B:$B)</f>
        <v/>
      </c>
      <c r="F7" s="0">
        <f>IF($E7=1,"New",IF($E7=15,"Full",""))</f>
        <v/>
      </c>
      <c r="H7" s="0">
        <f>IF($E7="","",IF(OR($E7=8,$E7=14,$E7=15,$E7=23,$E8=1,$E9=1),"Fast day",""))</f>
        <v/>
      </c>
      <c r="I7" s="0">
        <f>IFERROR(INDEX(lookup!$E:$E,MATCH($C7,lookup!$D:$D,0)),"")</f>
        <v/>
      </c>
      <c r="J7" s="0">
        <f>IF($I7="","",IF(OR($I7=1,$I7=5,$I7=9),IF($K7="","Long fast month","Long fast month (LEAP)"),""))</f>
        <v/>
      </c>
      <c r="K7" s="0">
        <f>IFERROR(IF(INDEX(lookup!$G:$G,MATCH($C7,lookup!$D:$D,0))="LEAP","LEAP MONTH - counts as month "&amp;$I7&amp;", flagged for review",""),"")</f>
        <v/>
      </c>
    </row>
    <row r="8">
      <c r="A8" s="12">
        <f>A7+1</f>
        <v/>
      </c>
      <c r="B8" s="0">
        <f>TEXT(A8,"ddd")</f>
        <v/>
      </c>
      <c r="C8" s="0">
        <f>IFERROR(INDEX(lunar_ref!$B:$B,MATCH($A8,lunar_ref!$A:$A,0)),"")</f>
        <v/>
      </c>
      <c r="D8" s="0">
        <f>IFERROR(INDEX(lunar_ref!$C:$C,MATCH($A8,lunar_ref!$A:$A,0)),"")</f>
        <v/>
      </c>
      <c r="E8" s="0">
        <f>_xlfn.XLOOKUP($D8,lookup!$A:$A,lookup!$B:$B)</f>
        <v/>
      </c>
      <c r="F8" s="0">
        <f>IF($E8=1,"New",IF($E8=15,"Full",""))</f>
        <v/>
      </c>
      <c r="H8" s="0">
        <f>IF($E8="","",IF(OR($E8=8,$E8=14,$E8=15,$E8=23,$E9=1,$E10=1),"Fast day",""))</f>
        <v/>
      </c>
      <c r="I8" s="0">
        <f>IFERROR(INDEX(lookup!$E:$E,MATCH($C8,lookup!$D:$D,0)),"")</f>
        <v/>
      </c>
      <c r="J8" s="0">
        <f>IF($I8="","",IF(OR($I8=1,$I8=5,$I8=9),IF($K8="","Long fast month","Long fast month (LEAP)"),""))</f>
        <v/>
      </c>
      <c r="K8" s="0">
        <f>IFERROR(IF(INDEX(lookup!$G:$G,MATCH($C8,lookup!$D:$D,0))="LEAP","LEAP MONTH - counts as month "&amp;$I8&amp;", flagged for review",""),"")</f>
        <v/>
      </c>
    </row>
    <row r="9">
      <c r="A9" s="12">
        <f>A8+1</f>
        <v/>
      </c>
      <c r="B9" s="0">
        <f>TEXT(A9,"ddd")</f>
        <v/>
      </c>
      <c r="C9" s="0">
        <f>IFERROR(INDEX(lunar_ref!$B:$B,MATCH($A9,lunar_ref!$A:$A,0)),"")</f>
        <v/>
      </c>
      <c r="D9" s="0">
        <f>IFERROR(INDEX(lunar_ref!$C:$C,MATCH($A9,lunar_ref!$A:$A,0)),"")</f>
        <v/>
      </c>
      <c r="E9" s="0">
        <f>_xlfn.XLOOKUP($D9,lookup!$A:$A,lookup!$B:$B)</f>
        <v/>
      </c>
      <c r="F9" s="0">
        <f>IF($E9=1,"New",IF($E9=15,"Full",""))</f>
        <v/>
      </c>
      <c r="H9" s="0">
        <f>IF($E9="","",IF(OR($E9=8,$E9=14,$E9=15,$E9=23,$E10=1,$E11=1),"Fast day",""))</f>
        <v/>
      </c>
      <c r="I9" s="0">
        <f>IFERROR(INDEX(lookup!$E:$E,MATCH($C9,lookup!$D:$D,0)),"")</f>
        <v/>
      </c>
      <c r="J9" s="0">
        <f>IF($I9="","",IF(OR($I9=1,$I9=5,$I9=9),IF($K9="","Long fast month","Long fast month (LEAP)"),""))</f>
        <v/>
      </c>
      <c r="K9" s="0">
        <f>IFERROR(IF(INDEX(lookup!$G:$G,MATCH($C9,lookup!$D:$D,0))="LEAP","LEAP MONTH - counts as month "&amp;$I9&amp;", flagged for review",""),"")</f>
        <v/>
      </c>
    </row>
    <row r="10">
      <c r="A10" s="12">
        <f>A9+1</f>
        <v/>
      </c>
      <c r="B10" s="0">
        <f>TEXT(A10,"ddd")</f>
        <v/>
      </c>
      <c r="C10" s="0">
        <f>IFERROR(INDEX(lunar_ref!$B:$B,MATCH($A10,lunar_ref!$A:$A,0)),"")</f>
        <v/>
      </c>
      <c r="D10" s="0">
        <f>IFERROR(INDEX(lunar_ref!$C:$C,MATCH($A10,lunar_ref!$A:$A,0)),"")</f>
        <v/>
      </c>
      <c r="E10" s="0">
        <f>_xlfn.XLOOKUP($D10,lookup!$A:$A,lookup!$B:$B)</f>
        <v/>
      </c>
      <c r="F10" s="0">
        <f>IF($E10=1,"New",IF($E10=15,"Full",""))</f>
        <v/>
      </c>
      <c r="H10" s="0">
        <f>IF($E10="","",IF(OR($E10=8,$E10=14,$E10=15,$E10=23,$E11=1,$E12=1),"Fast day",""))</f>
        <v/>
      </c>
      <c r="I10" s="0">
        <f>IFERROR(INDEX(lookup!$E:$E,MATCH($C10,lookup!$D:$D,0)),"")</f>
        <v/>
      </c>
      <c r="J10" s="0">
        <f>IF($I10="","",IF(OR($I10=1,$I10=5,$I10=9),IF($K10="","Long fast month","Long fast month (LEAP)"),""))</f>
        <v/>
      </c>
      <c r="K10" s="0">
        <f>IFERROR(IF(INDEX(lookup!$G:$G,MATCH($C10,lookup!$D:$D,0))="LEAP","LEAP MONTH - counts as month "&amp;$I10&amp;", flagged for review",""),"")</f>
        <v/>
      </c>
    </row>
    <row r="11">
      <c r="A11" s="12">
        <f>A10+1</f>
        <v/>
      </c>
      <c r="B11" s="0">
        <f>TEXT(A11,"ddd")</f>
        <v/>
      </c>
      <c r="C11" s="0">
        <f>IFERROR(INDEX(lunar_ref!$B:$B,MATCH($A11,lunar_ref!$A:$A,0)),"")</f>
        <v/>
      </c>
      <c r="D11" s="0">
        <f>IFERROR(INDEX(lunar_ref!$C:$C,MATCH($A11,lunar_ref!$A:$A,0)),"")</f>
        <v/>
      </c>
      <c r="E11" s="0">
        <f>_xlfn.XLOOKUP($D11,lookup!$A:$A,lookup!$B:$B)</f>
        <v/>
      </c>
      <c r="F11" s="0">
        <f>IF($E11=1,"New",IF($E11=15,"Full",""))</f>
        <v/>
      </c>
      <c r="H11" s="0">
        <f>IF($E11="","",IF(OR($E11=8,$E11=14,$E11=15,$E11=23,$E12=1,$E13=1),"Fast day",""))</f>
        <v/>
      </c>
      <c r="I11" s="0">
        <f>IFERROR(INDEX(lookup!$E:$E,MATCH($C11,lookup!$D:$D,0)),"")</f>
        <v/>
      </c>
      <c r="J11" s="0">
        <f>IF($I11="","",IF(OR($I11=1,$I11=5,$I11=9),IF($K11="","Long fast month","Long fast month (LEAP)"),""))</f>
        <v/>
      </c>
      <c r="K11" s="0">
        <f>IFERROR(IF(INDEX(lookup!$G:$G,MATCH($C11,lookup!$D:$D,0))="LEAP","LEAP MONTH - counts as month "&amp;$I11&amp;", flagged for review",""),"")</f>
        <v/>
      </c>
    </row>
    <row r="12">
      <c r="A12" s="12">
        <f>A11+1</f>
        <v/>
      </c>
      <c r="B12" s="0">
        <f>TEXT(A12,"ddd")</f>
        <v/>
      </c>
      <c r="C12" s="0">
        <f>IFERROR(INDEX(lunar_ref!$B:$B,MATCH($A12,lunar_ref!$A:$A,0)),"")</f>
        <v/>
      </c>
      <c r="D12" s="0">
        <f>IFERROR(INDEX(lunar_ref!$C:$C,MATCH($A12,lunar_ref!$A:$A,0)),"")</f>
        <v/>
      </c>
      <c r="E12" s="0">
        <f>_xlfn.XLOOKUP($D12,lookup!$A:$A,lookup!$B:$B)</f>
        <v/>
      </c>
      <c r="F12" s="0">
        <f>IF($E12=1,"New",IF($E12=15,"Full",""))</f>
        <v/>
      </c>
      <c r="H12" s="0">
        <f>IF($E12="","",IF(OR($E12=8,$E12=14,$E12=15,$E12=23,$E13=1,$E14=1),"Fast day",""))</f>
        <v/>
      </c>
      <c r="I12" s="0">
        <f>IFERROR(INDEX(lookup!$E:$E,MATCH($C12,lookup!$D:$D,0)),"")</f>
        <v/>
      </c>
      <c r="J12" s="0">
        <f>IF($I12="","",IF(OR($I12=1,$I12=5,$I12=9),IF($K12="","Long fast month","Long fast month (LEAP)"),""))</f>
        <v/>
      </c>
      <c r="K12" s="0">
        <f>IFERROR(IF(INDEX(lookup!$G:$G,MATCH($C12,lookup!$D:$D,0))="LEAP","LEAP MONTH - counts as month "&amp;$I12&amp;", flagged for review",""),"")</f>
        <v/>
      </c>
    </row>
    <row r="13">
      <c r="A13" s="12">
        <f>A12+1</f>
        <v/>
      </c>
      <c r="B13" s="0">
        <f>TEXT(A13,"ddd")</f>
        <v/>
      </c>
      <c r="C13" s="0">
        <f>IFERROR(INDEX(lunar_ref!$B:$B,MATCH($A13,lunar_ref!$A:$A,0)),"")</f>
        <v/>
      </c>
      <c r="D13" s="0">
        <f>IFERROR(INDEX(lunar_ref!$C:$C,MATCH($A13,lunar_ref!$A:$A,0)),"")</f>
        <v/>
      </c>
      <c r="E13" s="0">
        <f>_xlfn.XLOOKUP($D13,lookup!$A:$A,lookup!$B:$B)</f>
        <v/>
      </c>
      <c r="F13" s="0">
        <f>IF($E13=1,"New",IF($E13=15,"Full",""))</f>
        <v/>
      </c>
      <c r="H13" s="0">
        <f>IF($E13="","",IF(OR($E13=8,$E13=14,$E13=15,$E13=23,$E14=1,$E15=1),"Fast day",""))</f>
        <v/>
      </c>
      <c r="I13" s="0">
        <f>IFERROR(INDEX(lookup!$E:$E,MATCH($C13,lookup!$D:$D,0)),"")</f>
        <v/>
      </c>
      <c r="J13" s="0">
        <f>IF($I13="","",IF(OR($I13=1,$I13=5,$I13=9),IF($K13="","Long fast month","Long fast month (LEAP)"),""))</f>
        <v/>
      </c>
      <c r="K13" s="0">
        <f>IFERROR(IF(INDEX(lookup!$G:$G,MATCH($C13,lookup!$D:$D,0))="LEAP","LEAP MONTH - counts as month "&amp;$I13&amp;", flagged for review",""),"")</f>
        <v/>
      </c>
    </row>
    <row r="14">
      <c r="A14" s="12">
        <f>A13+1</f>
        <v/>
      </c>
      <c r="B14" s="0">
        <f>TEXT(A14,"ddd")</f>
        <v/>
      </c>
      <c r="C14" s="0">
        <f>IFERROR(INDEX(lunar_ref!$B:$B,MATCH($A14,lunar_ref!$A:$A,0)),"")</f>
        <v/>
      </c>
      <c r="D14" s="0">
        <f>IFERROR(INDEX(lunar_ref!$C:$C,MATCH($A14,lunar_ref!$A:$A,0)),"")</f>
        <v/>
      </c>
      <c r="E14" s="0">
        <f>_xlfn.XLOOKUP($D14,lookup!$A:$A,lookup!$B:$B)</f>
        <v/>
      </c>
      <c r="F14" s="0">
        <f>IF($E14=1,"New",IF($E14=15,"Full",""))</f>
        <v/>
      </c>
      <c r="H14" s="0">
        <f>IF($E14="","",IF(OR($E14=8,$E14=14,$E14=15,$E14=23,$E15=1,$E16=1),"Fast day",""))</f>
        <v/>
      </c>
      <c r="I14" s="0">
        <f>IFERROR(INDEX(lookup!$E:$E,MATCH($C14,lookup!$D:$D,0)),"")</f>
        <v/>
      </c>
      <c r="J14" s="0">
        <f>IF($I14="","",IF(OR($I14=1,$I14=5,$I14=9),IF($K14="","Long fast month","Long fast month (LEAP)"),""))</f>
        <v/>
      </c>
      <c r="K14" s="0">
        <f>IFERROR(IF(INDEX(lookup!$G:$G,MATCH($C14,lookup!$D:$D,0))="LEAP","LEAP MONTH - counts as month "&amp;$I14&amp;", flagged for review",""),"")</f>
        <v/>
      </c>
    </row>
    <row r="15">
      <c r="A15" s="12">
        <f>A14+1</f>
        <v/>
      </c>
      <c r="B15" s="0">
        <f>TEXT(A15,"ddd")</f>
        <v/>
      </c>
      <c r="C15" s="0">
        <f>IFERROR(INDEX(lunar_ref!$B:$B,MATCH($A15,lunar_ref!$A:$A,0)),"")</f>
        <v/>
      </c>
      <c r="D15" s="0">
        <f>IFERROR(INDEX(lunar_ref!$C:$C,MATCH($A15,lunar_ref!$A:$A,0)),"")</f>
        <v/>
      </c>
      <c r="E15" s="0">
        <f>_xlfn.XLOOKUP($D15,lookup!$A:$A,lookup!$B:$B)</f>
        <v/>
      </c>
      <c r="F15" s="0">
        <f>IF($E15=1,"New",IF($E15=15,"Full",""))</f>
        <v/>
      </c>
      <c r="H15" s="0">
        <f>IF($E15="","",IF(OR($E15=8,$E15=14,$E15=15,$E15=23,$E16=1,$E17=1),"Fast day",""))</f>
        <v/>
      </c>
      <c r="I15" s="0">
        <f>IFERROR(INDEX(lookup!$E:$E,MATCH($C15,lookup!$D:$D,0)),"")</f>
        <v/>
      </c>
      <c r="J15" s="0">
        <f>IF($I15="","",IF(OR($I15=1,$I15=5,$I15=9),IF($K15="","Long fast month","Long fast month (LEAP)"),""))</f>
        <v/>
      </c>
      <c r="K15" s="0">
        <f>IFERROR(IF(INDEX(lookup!$G:$G,MATCH($C15,lookup!$D:$D,0))="LEAP","LEAP MONTH - counts as month "&amp;$I15&amp;", flagged for review",""),"")</f>
        <v/>
      </c>
    </row>
    <row r="16">
      <c r="A16" s="12">
        <f>A15+1</f>
        <v/>
      </c>
      <c r="B16" s="0">
        <f>TEXT(A16,"ddd")</f>
        <v/>
      </c>
      <c r="C16" s="0">
        <f>IFERROR(INDEX(lunar_ref!$B:$B,MATCH($A16,lunar_ref!$A:$A,0)),"")</f>
        <v/>
      </c>
      <c r="D16" s="0">
        <f>IFERROR(INDEX(lunar_ref!$C:$C,MATCH($A16,lunar_ref!$A:$A,0)),"")</f>
        <v/>
      </c>
      <c r="E16" s="0">
        <f>_xlfn.XLOOKUP($D16,lookup!$A:$A,lookup!$B:$B)</f>
        <v/>
      </c>
      <c r="F16" s="0">
        <f>IF($E16=1,"New",IF($E16=15,"Full",""))</f>
        <v/>
      </c>
      <c r="H16" s="0">
        <f>IF($E16="","",IF(OR($E16=8,$E16=14,$E16=15,$E16=23,$E17=1,$E18=1),"Fast day",""))</f>
        <v/>
      </c>
      <c r="I16" s="0">
        <f>IFERROR(INDEX(lookup!$E:$E,MATCH($C16,lookup!$D:$D,0)),"")</f>
        <v/>
      </c>
      <c r="J16" s="0">
        <f>IF($I16="","",IF(OR($I16=1,$I16=5,$I16=9),IF($K16="","Long fast month","Long fast month (LEAP)"),""))</f>
        <v/>
      </c>
      <c r="K16" s="0">
        <f>IFERROR(IF(INDEX(lookup!$G:$G,MATCH($C16,lookup!$D:$D,0))="LEAP","LEAP MONTH - counts as month "&amp;$I16&amp;", flagged for review",""),"")</f>
        <v/>
      </c>
    </row>
    <row r="17">
      <c r="A17" s="12">
        <f>A16+1</f>
        <v/>
      </c>
      <c r="B17" s="0">
        <f>TEXT(A17,"ddd")</f>
        <v/>
      </c>
      <c r="C17" s="0">
        <f>IFERROR(INDEX(lunar_ref!$B:$B,MATCH($A17,lunar_ref!$A:$A,0)),"")</f>
        <v/>
      </c>
      <c r="D17" s="0">
        <f>IFERROR(INDEX(lunar_ref!$C:$C,MATCH($A17,lunar_ref!$A:$A,0)),"")</f>
        <v/>
      </c>
      <c r="E17" s="0">
        <f>_xlfn.XLOOKUP($D17,lookup!$A:$A,lookup!$B:$B)</f>
        <v/>
      </c>
      <c r="F17" s="0">
        <f>IF($E17=1,"New",IF($E17=15,"Full",""))</f>
        <v/>
      </c>
      <c r="H17" s="0">
        <f>IF($E17="","",IF(OR($E17=8,$E17=14,$E17=15,$E17=23,$E18=1,$E19=1),"Fast day",""))</f>
        <v/>
      </c>
      <c r="I17" s="0">
        <f>IFERROR(INDEX(lookup!$E:$E,MATCH($C17,lookup!$D:$D,0)),"")</f>
        <v/>
      </c>
      <c r="J17" s="0">
        <f>IF($I17="","",IF(OR($I17=1,$I17=5,$I17=9),IF($K17="","Long fast month","Long fast month (LEAP)"),""))</f>
        <v/>
      </c>
      <c r="K17" s="0">
        <f>IFERROR(IF(INDEX(lookup!$G:$G,MATCH($C17,lookup!$D:$D,0))="LEAP","LEAP MONTH - counts as month "&amp;$I17&amp;", flagged for review",""),"")</f>
        <v/>
      </c>
    </row>
    <row r="18">
      <c r="A18" s="12">
        <f>A17+1</f>
        <v/>
      </c>
      <c r="B18" s="0">
        <f>TEXT(A18,"ddd")</f>
        <v/>
      </c>
      <c r="C18" s="0">
        <f>IFERROR(INDEX(lunar_ref!$B:$B,MATCH($A18,lunar_ref!$A:$A,0)),"")</f>
        <v/>
      </c>
      <c r="D18" s="0">
        <f>IFERROR(INDEX(lunar_ref!$C:$C,MATCH($A18,lunar_ref!$A:$A,0)),"")</f>
        <v/>
      </c>
      <c r="E18" s="0">
        <f>_xlfn.XLOOKUP($D18,lookup!$A:$A,lookup!$B:$B)</f>
        <v/>
      </c>
      <c r="F18" s="0">
        <f>IF($E18=1,"New",IF($E18=15,"Full",""))</f>
        <v/>
      </c>
      <c r="H18" s="0">
        <f>IF($E18="","",IF(OR($E18=8,$E18=14,$E18=15,$E18=23,$E19=1,$E20=1),"Fast day",""))</f>
        <v/>
      </c>
      <c r="I18" s="0">
        <f>IFERROR(INDEX(lookup!$E:$E,MATCH($C18,lookup!$D:$D,0)),"")</f>
        <v/>
      </c>
      <c r="J18" s="0">
        <f>IF($I18="","",IF(OR($I18=1,$I18=5,$I18=9),IF($K18="","Long fast month","Long fast month (LEAP)"),""))</f>
        <v/>
      </c>
      <c r="K18" s="0">
        <f>IFERROR(IF(INDEX(lookup!$G:$G,MATCH($C18,lookup!$D:$D,0))="LEAP","LEAP MONTH - counts as month "&amp;$I18&amp;", flagged for review",""),"")</f>
        <v/>
      </c>
    </row>
    <row r="19">
      <c r="A19" s="12">
        <f>A18+1</f>
        <v/>
      </c>
      <c r="B19" s="0">
        <f>TEXT(A19,"ddd")</f>
        <v/>
      </c>
      <c r="C19" s="0">
        <f>IFERROR(INDEX(lunar_ref!$B:$B,MATCH($A19,lunar_ref!$A:$A,0)),"")</f>
        <v/>
      </c>
      <c r="D19" s="0">
        <f>IFERROR(INDEX(lunar_ref!$C:$C,MATCH($A19,lunar_ref!$A:$A,0)),"")</f>
        <v/>
      </c>
      <c r="E19" s="0">
        <f>_xlfn.XLOOKUP($D19,lookup!$A:$A,lookup!$B:$B)</f>
        <v/>
      </c>
      <c r="F19" s="0">
        <f>IF($E19=1,"New",IF($E19=15,"Full",""))</f>
        <v/>
      </c>
      <c r="H19" s="0">
        <f>IF($E19="","",IF(OR($E19=8,$E19=14,$E19=15,$E19=23,$E20=1,$E21=1),"Fast day",""))</f>
        <v/>
      </c>
      <c r="I19" s="0">
        <f>IFERROR(INDEX(lookup!$E:$E,MATCH($C19,lookup!$D:$D,0)),"")</f>
        <v/>
      </c>
      <c r="J19" s="0">
        <f>IF($I19="","",IF(OR($I19=1,$I19=5,$I19=9),IF($K19="","Long fast month","Long fast month (LEAP)"),""))</f>
        <v/>
      </c>
      <c r="K19" s="0">
        <f>IFERROR(IF(INDEX(lookup!$G:$G,MATCH($C19,lookup!$D:$D,0))="LEAP","LEAP MONTH - counts as month "&amp;$I19&amp;", flagged for review",""),"")</f>
        <v/>
      </c>
    </row>
    <row r="20">
      <c r="A20" s="12">
        <f>A19+1</f>
        <v/>
      </c>
      <c r="B20" s="0">
        <f>TEXT(A20,"ddd")</f>
        <v/>
      </c>
      <c r="C20" s="0">
        <f>IFERROR(INDEX(lunar_ref!$B:$B,MATCH($A20,lunar_ref!$A:$A,0)),"")</f>
        <v/>
      </c>
      <c r="D20" s="0">
        <f>IFERROR(INDEX(lunar_ref!$C:$C,MATCH($A20,lunar_ref!$A:$A,0)),"")</f>
        <v/>
      </c>
      <c r="E20" s="0">
        <f>_xlfn.XLOOKUP($D20,lookup!$A:$A,lookup!$B:$B)</f>
        <v/>
      </c>
      <c r="F20" s="0">
        <f>IF($E20=1,"New",IF($E20=15,"Full",""))</f>
        <v/>
      </c>
      <c r="H20" s="0">
        <f>IF($E20="","",IF(OR($E20=8,$E20=14,$E20=15,$E20=23,$E21=1,$E22=1),"Fast day",""))</f>
        <v/>
      </c>
      <c r="I20" s="0">
        <f>IFERROR(INDEX(lookup!$E:$E,MATCH($C20,lookup!$D:$D,0)),"")</f>
        <v/>
      </c>
      <c r="J20" s="0">
        <f>IF($I20="","",IF(OR($I20=1,$I20=5,$I20=9),IF($K20="","Long fast month","Long fast month (LEAP)"),""))</f>
        <v/>
      </c>
      <c r="K20" s="0">
        <f>IFERROR(IF(INDEX(lookup!$G:$G,MATCH($C20,lookup!$D:$D,0))="LEAP","LEAP MONTH - counts as month "&amp;$I20&amp;", flagged for review",""),"")</f>
        <v/>
      </c>
    </row>
    <row r="21">
      <c r="A21" s="12">
        <f>A20+1</f>
        <v/>
      </c>
      <c r="B21" s="0">
        <f>TEXT(A21,"ddd")</f>
        <v/>
      </c>
      <c r="C21" s="0">
        <f>IFERROR(INDEX(lunar_ref!$B:$B,MATCH($A21,lunar_ref!$A:$A,0)),"")</f>
        <v/>
      </c>
      <c r="D21" s="0">
        <f>IFERROR(INDEX(lunar_ref!$C:$C,MATCH($A21,lunar_ref!$A:$A,0)),"")</f>
        <v/>
      </c>
      <c r="E21" s="0">
        <f>_xlfn.XLOOKUP($D21,lookup!$A:$A,lookup!$B:$B)</f>
        <v/>
      </c>
      <c r="F21" s="0">
        <f>IF($E21=1,"New",IF($E21=15,"Full",""))</f>
        <v/>
      </c>
      <c r="H21" s="0">
        <f>IF($E21="","",IF(OR($E21=8,$E21=14,$E21=15,$E21=23,$E22=1,$E23=1),"Fast day",""))</f>
        <v/>
      </c>
      <c r="I21" s="0">
        <f>IFERROR(INDEX(lookup!$E:$E,MATCH($C21,lookup!$D:$D,0)),"")</f>
        <v/>
      </c>
      <c r="J21" s="0">
        <f>IF($I21="","",IF(OR($I21=1,$I21=5,$I21=9),IF($K21="","Long fast month","Long fast month (LEAP)"),""))</f>
        <v/>
      </c>
      <c r="K21" s="0">
        <f>IFERROR(IF(INDEX(lookup!$G:$G,MATCH($C21,lookup!$D:$D,0))="LEAP","LEAP MONTH - counts as month "&amp;$I21&amp;", flagged for review",""),"")</f>
        <v/>
      </c>
    </row>
    <row r="22">
      <c r="A22" s="12">
        <f>A21+1</f>
        <v/>
      </c>
      <c r="B22" s="0">
        <f>TEXT(A22,"ddd")</f>
        <v/>
      </c>
      <c r="C22" s="0">
        <f>IFERROR(INDEX(lunar_ref!$B:$B,MATCH($A22,lunar_ref!$A:$A,0)),"")</f>
        <v/>
      </c>
      <c r="D22" s="0">
        <f>IFERROR(INDEX(lunar_ref!$C:$C,MATCH($A22,lunar_ref!$A:$A,0)),"")</f>
        <v/>
      </c>
      <c r="E22" s="0">
        <f>_xlfn.XLOOKUP($D22,lookup!$A:$A,lookup!$B:$B)</f>
        <v/>
      </c>
      <c r="F22" s="0">
        <f>IF($E22=1,"New",IF($E22=15,"Full",""))</f>
        <v/>
      </c>
      <c r="H22" s="0">
        <f>IF($E22="","",IF(OR($E22=8,$E22=14,$E22=15,$E22=23,$E23=1,$E24=1),"Fast day",""))</f>
        <v/>
      </c>
      <c r="I22" s="0">
        <f>IFERROR(INDEX(lookup!$E:$E,MATCH($C22,lookup!$D:$D,0)),"")</f>
        <v/>
      </c>
      <c r="J22" s="0">
        <f>IF($I22="","",IF(OR($I22=1,$I22=5,$I22=9),IF($K22="","Long fast month","Long fast month (LEAP)"),""))</f>
        <v/>
      </c>
      <c r="K22" s="0">
        <f>IFERROR(IF(INDEX(lookup!$G:$G,MATCH($C22,lookup!$D:$D,0))="LEAP","LEAP MONTH - counts as month "&amp;$I22&amp;", flagged for review",""),"")</f>
        <v/>
      </c>
    </row>
    <row r="23">
      <c r="A23" s="12">
        <f>A22+1</f>
        <v/>
      </c>
      <c r="B23" s="0">
        <f>TEXT(A23,"ddd")</f>
        <v/>
      </c>
      <c r="C23" s="0">
        <f>IFERROR(INDEX(lunar_ref!$B:$B,MATCH($A23,lunar_ref!$A:$A,0)),"")</f>
        <v/>
      </c>
      <c r="D23" s="0">
        <f>IFERROR(INDEX(lunar_ref!$C:$C,MATCH($A23,lunar_ref!$A:$A,0)),"")</f>
        <v/>
      </c>
      <c r="E23" s="0">
        <f>_xlfn.XLOOKUP($D23,lookup!$A:$A,lookup!$B:$B)</f>
        <v/>
      </c>
      <c r="F23" s="0">
        <f>IF($E23=1,"New",IF($E23=15,"Full",""))</f>
        <v/>
      </c>
      <c r="H23" s="0">
        <f>IF($E23="","",IF(OR($E23=8,$E23=14,$E23=15,$E23=23,$E24=1,$E25=1),"Fast day",""))</f>
        <v/>
      </c>
      <c r="I23" s="0">
        <f>IFERROR(INDEX(lookup!$E:$E,MATCH($C23,lookup!$D:$D,0)),"")</f>
        <v/>
      </c>
      <c r="J23" s="0">
        <f>IF($I23="","",IF(OR($I23=1,$I23=5,$I23=9),IF($K23="","Long fast month","Long fast month (LEAP)"),""))</f>
        <v/>
      </c>
      <c r="K23" s="0">
        <f>IFERROR(IF(INDEX(lookup!$G:$G,MATCH($C23,lookup!$D:$D,0))="LEAP","LEAP MONTH - counts as month "&amp;$I23&amp;", flagged for review",""),"")</f>
        <v/>
      </c>
    </row>
    <row r="24">
      <c r="A24" s="12">
        <f>A23+1</f>
        <v/>
      </c>
      <c r="B24" s="0">
        <f>TEXT(A24,"ddd")</f>
        <v/>
      </c>
      <c r="C24" s="0">
        <f>IFERROR(INDEX(lunar_ref!$B:$B,MATCH($A24,lunar_ref!$A:$A,0)),"")</f>
        <v/>
      </c>
      <c r="D24" s="0">
        <f>IFERROR(INDEX(lunar_ref!$C:$C,MATCH($A24,lunar_ref!$A:$A,0)),"")</f>
        <v/>
      </c>
      <c r="E24" s="0">
        <f>_xlfn.XLOOKUP($D24,lookup!$A:$A,lookup!$B:$B)</f>
        <v/>
      </c>
      <c r="F24" s="0">
        <f>IF($E24=1,"New",IF($E24=15,"Full",""))</f>
        <v/>
      </c>
      <c r="H24" s="0">
        <f>IF($E24="","",IF(OR($E24=8,$E24=14,$E24=15,$E24=23,$E25=1,$E26=1),"Fast day",""))</f>
        <v/>
      </c>
      <c r="I24" s="0">
        <f>IFERROR(INDEX(lookup!$E:$E,MATCH($C24,lookup!$D:$D,0)),"")</f>
        <v/>
      </c>
      <c r="J24" s="0">
        <f>IF($I24="","",IF(OR($I24=1,$I24=5,$I24=9),IF($K24="","Long fast month","Long fast month (LEAP)"),""))</f>
        <v/>
      </c>
      <c r="K24" s="0">
        <f>IFERROR(IF(INDEX(lookup!$G:$G,MATCH($C24,lookup!$D:$D,0))="LEAP","LEAP MONTH - counts as month "&amp;$I24&amp;", flagged for review",""),"")</f>
        <v/>
      </c>
    </row>
    <row r="25">
      <c r="A25" s="12">
        <f>A24+1</f>
        <v/>
      </c>
      <c r="B25" s="0">
        <f>TEXT(A25,"ddd")</f>
        <v/>
      </c>
      <c r="C25" s="0">
        <f>IFERROR(INDEX(lunar_ref!$B:$B,MATCH($A25,lunar_ref!$A:$A,0)),"")</f>
        <v/>
      </c>
      <c r="D25" s="0">
        <f>IFERROR(INDEX(lunar_ref!$C:$C,MATCH($A25,lunar_ref!$A:$A,0)),"")</f>
        <v/>
      </c>
      <c r="E25" s="0">
        <f>_xlfn.XLOOKUP($D25,lookup!$A:$A,lookup!$B:$B)</f>
        <v/>
      </c>
      <c r="F25" s="0">
        <f>IF($E25=1,"New",IF($E25=15,"Full",""))</f>
        <v/>
      </c>
      <c r="H25" s="0">
        <f>IF($E25="","",IF(OR($E25=8,$E25=14,$E25=15,$E25=23,$E26=1,$E27=1),"Fast day",""))</f>
        <v/>
      </c>
      <c r="I25" s="0">
        <f>IFERROR(INDEX(lookup!$E:$E,MATCH($C25,lookup!$D:$D,0)),"")</f>
        <v/>
      </c>
      <c r="J25" s="0">
        <f>IF($I25="","",IF(OR($I25=1,$I25=5,$I25=9),IF($K25="","Long fast month","Long fast month (LEAP)"),""))</f>
        <v/>
      </c>
      <c r="K25" s="0">
        <f>IFERROR(IF(INDEX(lookup!$G:$G,MATCH($C25,lookup!$D:$D,0))="LEAP","LEAP MONTH - counts as month "&amp;$I25&amp;", flagged for review",""),"")</f>
        <v/>
      </c>
    </row>
    <row r="26">
      <c r="A26" s="12">
        <f>A25+1</f>
        <v/>
      </c>
      <c r="B26" s="0">
        <f>TEXT(A26,"ddd")</f>
        <v/>
      </c>
      <c r="C26" s="0">
        <f>IFERROR(INDEX(lunar_ref!$B:$B,MATCH($A26,lunar_ref!$A:$A,0)),"")</f>
        <v/>
      </c>
      <c r="D26" s="0">
        <f>IFERROR(INDEX(lunar_ref!$C:$C,MATCH($A26,lunar_ref!$A:$A,0)),"")</f>
        <v/>
      </c>
      <c r="E26" s="0">
        <f>_xlfn.XLOOKUP($D26,lookup!$A:$A,lookup!$B:$B)</f>
        <v/>
      </c>
      <c r="F26" s="0">
        <f>IF($E26=1,"New",IF($E26=15,"Full",""))</f>
        <v/>
      </c>
      <c r="H26" s="0">
        <f>IF($E26="","",IF(OR($E26=8,$E26=14,$E26=15,$E26=23,$E27=1,$E28=1),"Fast day",""))</f>
        <v/>
      </c>
      <c r="I26" s="0">
        <f>IFERROR(INDEX(lookup!$E:$E,MATCH($C26,lookup!$D:$D,0)),"")</f>
        <v/>
      </c>
      <c r="J26" s="0">
        <f>IF($I26="","",IF(OR($I26=1,$I26=5,$I26=9),IF($K26="","Long fast month","Long fast month (LEAP)"),""))</f>
        <v/>
      </c>
      <c r="K26" s="0">
        <f>IFERROR(IF(INDEX(lookup!$G:$G,MATCH($C26,lookup!$D:$D,0))="LEAP","LEAP MONTH - counts as month "&amp;$I26&amp;", flagged for review",""),"")</f>
        <v/>
      </c>
    </row>
    <row r="27">
      <c r="A27" s="12">
        <f>A26+1</f>
        <v/>
      </c>
      <c r="B27" s="0">
        <f>TEXT(A27,"ddd")</f>
        <v/>
      </c>
      <c r="C27" s="0">
        <f>IFERROR(INDEX(lunar_ref!$B:$B,MATCH($A27,lunar_ref!$A:$A,0)),"")</f>
        <v/>
      </c>
      <c r="D27" s="0">
        <f>IFERROR(INDEX(lunar_ref!$C:$C,MATCH($A27,lunar_ref!$A:$A,0)),"")</f>
        <v/>
      </c>
      <c r="E27" s="0">
        <f>_xlfn.XLOOKUP($D27,lookup!$A:$A,lookup!$B:$B)</f>
        <v/>
      </c>
      <c r="F27" s="0">
        <f>IF($E27=1,"New",IF($E27=15,"Full",""))</f>
        <v/>
      </c>
      <c r="H27" s="0">
        <f>IF($E27="","",IF(OR($E27=8,$E27=14,$E27=15,$E27=23,$E28=1,$E29=1),"Fast day",""))</f>
        <v/>
      </c>
      <c r="I27" s="0">
        <f>IFERROR(INDEX(lookup!$E:$E,MATCH($C27,lookup!$D:$D,0)),"")</f>
        <v/>
      </c>
      <c r="J27" s="0">
        <f>IF($I27="","",IF(OR($I27=1,$I27=5,$I27=9),IF($K27="","Long fast month","Long fast month (LEAP)"),""))</f>
        <v/>
      </c>
      <c r="K27" s="0">
        <f>IFERROR(IF(INDEX(lookup!$G:$G,MATCH($C27,lookup!$D:$D,0))="LEAP","LEAP MONTH - counts as month "&amp;$I27&amp;", flagged for review",""),"")</f>
        <v/>
      </c>
    </row>
    <row r="28">
      <c r="A28" s="12">
        <f>A27+1</f>
        <v/>
      </c>
      <c r="B28" s="0">
        <f>TEXT(A28,"ddd")</f>
        <v/>
      </c>
      <c r="C28" s="0">
        <f>IFERROR(INDEX(lunar_ref!$B:$B,MATCH($A28,lunar_ref!$A:$A,0)),"")</f>
        <v/>
      </c>
      <c r="D28" s="0">
        <f>IFERROR(INDEX(lunar_ref!$C:$C,MATCH($A28,lunar_ref!$A:$A,0)),"")</f>
        <v/>
      </c>
      <c r="E28" s="0">
        <f>_xlfn.XLOOKUP($D28,lookup!$A:$A,lookup!$B:$B)</f>
        <v/>
      </c>
      <c r="F28" s="0">
        <f>IF($E28=1,"New",IF($E28=15,"Full",""))</f>
        <v/>
      </c>
      <c r="H28" s="0">
        <f>IF($E28="","",IF(OR($E28=8,$E28=14,$E28=15,$E28=23,$E29=1,$E30=1),"Fast day",""))</f>
        <v/>
      </c>
      <c r="I28" s="0">
        <f>IFERROR(INDEX(lookup!$E:$E,MATCH($C28,lookup!$D:$D,0)),"")</f>
        <v/>
      </c>
      <c r="J28" s="0">
        <f>IF($I28="","",IF(OR($I28=1,$I28=5,$I28=9),IF($K28="","Long fast month","Long fast month (LEAP)"),""))</f>
        <v/>
      </c>
      <c r="K28" s="0">
        <f>IFERROR(IF(INDEX(lookup!$G:$G,MATCH($C28,lookup!$D:$D,0))="LEAP","LEAP MONTH - counts as month "&amp;$I28&amp;", flagged for review",""),"")</f>
        <v/>
      </c>
    </row>
    <row r="29">
      <c r="A29" s="12">
        <f>A28+1</f>
        <v/>
      </c>
      <c r="B29" s="0">
        <f>TEXT(A29,"ddd")</f>
        <v/>
      </c>
      <c r="C29" s="0">
        <f>IFERROR(INDEX(lunar_ref!$B:$B,MATCH($A29,lunar_ref!$A:$A,0)),"")</f>
        <v/>
      </c>
      <c r="D29" s="0">
        <f>IFERROR(INDEX(lunar_ref!$C:$C,MATCH($A29,lunar_ref!$A:$A,0)),"")</f>
        <v/>
      </c>
      <c r="E29" s="0">
        <f>_xlfn.XLOOKUP($D29,lookup!$A:$A,lookup!$B:$B)</f>
        <v/>
      </c>
      <c r="F29" s="0">
        <f>IF($E29=1,"New",IF($E29=15,"Full",""))</f>
        <v/>
      </c>
      <c r="H29" s="0">
        <f>IF($E29="","",IF(OR($E29=8,$E29=14,$E29=15,$E29=23,$E30=1,$E31=1),"Fast day",""))</f>
        <v/>
      </c>
      <c r="I29" s="0">
        <f>IFERROR(INDEX(lookup!$E:$E,MATCH($C29,lookup!$D:$D,0)),"")</f>
        <v/>
      </c>
      <c r="J29" s="0">
        <f>IF($I29="","",IF(OR($I29=1,$I29=5,$I29=9),IF($K29="","Long fast month","Long fast month (LEAP)"),""))</f>
        <v/>
      </c>
      <c r="K29" s="0">
        <f>IFERROR(IF(INDEX(lookup!$G:$G,MATCH($C29,lookup!$D:$D,0))="LEAP","LEAP MONTH - counts as month "&amp;$I29&amp;", flagged for review",""),"")</f>
        <v/>
      </c>
    </row>
    <row r="30">
      <c r="A30" s="12">
        <f>A29+1</f>
        <v/>
      </c>
      <c r="B30" s="0">
        <f>TEXT(A30,"ddd")</f>
        <v/>
      </c>
      <c r="C30" s="0">
        <f>IFERROR(INDEX(lunar_ref!$B:$B,MATCH($A30,lunar_ref!$A:$A,0)),"")</f>
        <v/>
      </c>
      <c r="D30" s="0">
        <f>IFERROR(INDEX(lunar_ref!$C:$C,MATCH($A30,lunar_ref!$A:$A,0)),"")</f>
        <v/>
      </c>
      <c r="E30" s="0">
        <f>_xlfn.XLOOKUP($D30,lookup!$A:$A,lookup!$B:$B)</f>
        <v/>
      </c>
      <c r="F30" s="0">
        <f>IF($E30=1,"New",IF($E30=15,"Full",""))</f>
        <v/>
      </c>
      <c r="H30" s="0">
        <f>IF($E30="","",IF(OR($E30=8,$E30=14,$E30=15,$E30=23,$E31=1,$E32=1),"Fast day",""))</f>
        <v/>
      </c>
      <c r="I30" s="0">
        <f>IFERROR(INDEX(lookup!$E:$E,MATCH($C30,lookup!$D:$D,0)),"")</f>
        <v/>
      </c>
      <c r="J30" s="0">
        <f>IF($I30="","",IF(OR($I30=1,$I30=5,$I30=9),IF($K30="","Long fast month","Long fast month (LEAP)"),""))</f>
        <v/>
      </c>
      <c r="K30" s="0">
        <f>IFERROR(IF(INDEX(lookup!$G:$G,MATCH($C30,lookup!$D:$D,0))="LEAP","LEAP MONTH - counts as month "&amp;$I30&amp;", flagged for review",""),"")</f>
        <v/>
      </c>
    </row>
    <row r="31">
      <c r="A31" s="12">
        <f>A30+1</f>
        <v/>
      </c>
      <c r="B31" s="0">
        <f>TEXT(A31,"ddd")</f>
        <v/>
      </c>
      <c r="C31" s="0">
        <f>IFERROR(INDEX(lunar_ref!$B:$B,MATCH($A31,lunar_ref!$A:$A,0)),"")</f>
        <v/>
      </c>
      <c r="D31" s="0">
        <f>IFERROR(INDEX(lunar_ref!$C:$C,MATCH($A31,lunar_ref!$A:$A,0)),"")</f>
        <v/>
      </c>
      <c r="E31" s="0">
        <f>_xlfn.XLOOKUP($D31,lookup!$A:$A,lookup!$B:$B)</f>
        <v/>
      </c>
      <c r="F31" s="0">
        <f>IF($E31=1,"New",IF($E31=15,"Full",""))</f>
        <v/>
      </c>
      <c r="H31" s="0">
        <f>IF($E31="","",IF(OR($E31=8,$E31=14,$E31=15,$E31=23,$E32=1,$E33=1),"Fast day",""))</f>
        <v/>
      </c>
      <c r="I31" s="0">
        <f>IFERROR(INDEX(lookup!$E:$E,MATCH($C31,lookup!$D:$D,0)),"")</f>
        <v/>
      </c>
      <c r="J31" s="0">
        <f>IF($I31="","",IF(OR($I31=1,$I31=5,$I31=9),IF($K31="","Long fast month","Long fast month (LEAP)"),""))</f>
        <v/>
      </c>
      <c r="K31" s="0">
        <f>IFERROR(IF(INDEX(lookup!$G:$G,MATCH($C31,lookup!$D:$D,0))="LEAP","LEAP MONTH - counts as month "&amp;$I31&amp;", flagged for review",""),"")</f>
        <v/>
      </c>
    </row>
    <row r="32">
      <c r="A32" s="12">
        <f>A31+1</f>
        <v/>
      </c>
      <c r="B32" s="0">
        <f>TEXT(A32,"ddd")</f>
        <v/>
      </c>
      <c r="C32" s="0">
        <f>IFERROR(INDEX(lunar_ref!$B:$B,MATCH($A32,lunar_ref!$A:$A,0)),"")</f>
        <v/>
      </c>
      <c r="D32" s="0">
        <f>IFERROR(INDEX(lunar_ref!$C:$C,MATCH($A32,lunar_ref!$A:$A,0)),"")</f>
        <v/>
      </c>
      <c r="E32" s="0">
        <f>_xlfn.XLOOKUP($D32,lookup!$A:$A,lookup!$B:$B)</f>
        <v/>
      </c>
      <c r="F32" s="0">
        <f>IF($E32=1,"New",IF($E32=15,"Full",""))</f>
        <v/>
      </c>
      <c r="H32" s="0">
        <f>IF($E32="","",IF(OR($E32=8,$E32=14,$E32=15,$E32=23,$E33=1,$E34=1),"Fast day",""))</f>
        <v/>
      </c>
      <c r="I32" s="0">
        <f>IFERROR(INDEX(lookup!$E:$E,MATCH($C32,lookup!$D:$D,0)),"")</f>
        <v/>
      </c>
      <c r="J32" s="0">
        <f>IF($I32="","",IF(OR($I32=1,$I32=5,$I32=9),IF($K32="","Long fast month","Long fast month (LEAP)"),""))</f>
        <v/>
      </c>
      <c r="K32" s="0">
        <f>IFERROR(IF(INDEX(lookup!$G:$G,MATCH($C32,lookup!$D:$D,0))="LEAP","LEAP MONTH - counts as month "&amp;$I32&amp;", flagged for review",""),"")</f>
        <v/>
      </c>
    </row>
    <row r="33">
      <c r="A33" s="12">
        <f>A32+1</f>
        <v/>
      </c>
      <c r="B33" s="0">
        <f>TEXT(A33,"ddd")</f>
        <v/>
      </c>
      <c r="C33" s="0">
        <f>IFERROR(INDEX(lunar_ref!$B:$B,MATCH($A33,lunar_ref!$A:$A,0)),"")</f>
        <v/>
      </c>
      <c r="D33" s="0">
        <f>IFERROR(INDEX(lunar_ref!$C:$C,MATCH($A33,lunar_ref!$A:$A,0)),"")</f>
        <v/>
      </c>
      <c r="E33" s="0">
        <f>_xlfn.XLOOKUP($D33,lookup!$A:$A,lookup!$B:$B)</f>
        <v/>
      </c>
      <c r="F33" s="0">
        <f>IF($E33=1,"New",IF($E33=15,"Full",""))</f>
        <v/>
      </c>
      <c r="H33" s="0">
        <f>IF($E33="","",IF(OR($E33=8,$E33=14,$E33=15,$E33=23,$E34=1,$E35=1),"Fast day",""))</f>
        <v/>
      </c>
      <c r="I33" s="0">
        <f>IFERROR(INDEX(lookup!$E:$E,MATCH($C33,lookup!$D:$D,0)),"")</f>
        <v/>
      </c>
      <c r="J33" s="0">
        <f>IF($I33="","",IF(OR($I33=1,$I33=5,$I33=9),IF($K33="","Long fast month","Long fast month (LEAP)"),""))</f>
        <v/>
      </c>
      <c r="K33" s="0">
        <f>IFERROR(IF(INDEX(lookup!$G:$G,MATCH($C33,lookup!$D:$D,0))="LEAP","LEAP MONTH - counts as month "&amp;$I33&amp;", flagged for review",""),"")</f>
        <v/>
      </c>
    </row>
    <row r="34">
      <c r="A34" s="12">
        <f>A33+1</f>
        <v/>
      </c>
      <c r="B34" s="0">
        <f>TEXT(A34,"ddd")</f>
        <v/>
      </c>
      <c r="C34" s="0">
        <f>IFERROR(INDEX(lunar_ref!$B:$B,MATCH($A34,lunar_ref!$A:$A,0)),"")</f>
        <v/>
      </c>
      <c r="D34" s="0">
        <f>IFERROR(INDEX(lunar_ref!$C:$C,MATCH($A34,lunar_ref!$A:$A,0)),"")</f>
        <v/>
      </c>
      <c r="E34" s="0">
        <f>_xlfn.XLOOKUP($D34,lookup!$A:$A,lookup!$B:$B)</f>
        <v/>
      </c>
      <c r="F34" s="0">
        <f>IF($E34=1,"New",IF($E34=15,"Full",""))</f>
        <v/>
      </c>
      <c r="H34" s="0">
        <f>IF($E34="","",IF(OR($E34=8,$E34=14,$E34=15,$E34=23,$E35=1,$E36=1),"Fast day",""))</f>
        <v/>
      </c>
      <c r="I34" s="0">
        <f>IFERROR(INDEX(lookup!$E:$E,MATCH($C34,lookup!$D:$D,0)),"")</f>
        <v/>
      </c>
      <c r="J34" s="0">
        <f>IF($I34="","",IF(OR($I34=1,$I34=5,$I34=9),IF($K34="","Long fast month","Long fast month (LEAP)"),""))</f>
        <v/>
      </c>
      <c r="K34" s="0">
        <f>IFERROR(IF(INDEX(lookup!$G:$G,MATCH($C34,lookup!$D:$D,0))="LEAP","LEAP MONTH - counts as month "&amp;$I34&amp;", flagged for review",""),"")</f>
        <v/>
      </c>
    </row>
    <row r="35">
      <c r="A35" s="12">
        <f>A34+1</f>
        <v/>
      </c>
      <c r="B35" s="0">
        <f>TEXT(A35,"ddd")</f>
        <v/>
      </c>
      <c r="C35" s="0">
        <f>IFERROR(INDEX(lunar_ref!$B:$B,MATCH($A35,lunar_ref!$A:$A,0)),"")</f>
        <v/>
      </c>
      <c r="D35" s="0">
        <f>IFERROR(INDEX(lunar_ref!$C:$C,MATCH($A35,lunar_ref!$A:$A,0)),"")</f>
        <v/>
      </c>
      <c r="E35" s="0">
        <f>_xlfn.XLOOKUP($D35,lookup!$A:$A,lookup!$B:$B)</f>
        <v/>
      </c>
      <c r="F35" s="0">
        <f>IF($E35=1,"New",IF($E35=15,"Full",""))</f>
        <v/>
      </c>
      <c r="H35" s="0">
        <f>IF($E35="","",IF(OR($E35=8,$E35=14,$E35=15,$E35=23,$E36=1,$E37=1),"Fast day",""))</f>
        <v/>
      </c>
      <c r="I35" s="0">
        <f>IFERROR(INDEX(lookup!$E:$E,MATCH($C35,lookup!$D:$D,0)),"")</f>
        <v/>
      </c>
      <c r="J35" s="0">
        <f>IF($I35="","",IF(OR($I35=1,$I35=5,$I35=9),IF($K35="","Long fast month","Long fast month (LEAP)"),""))</f>
        <v/>
      </c>
      <c r="K35" s="0">
        <f>IFERROR(IF(INDEX(lookup!$G:$G,MATCH($C35,lookup!$D:$D,0))="LEAP","LEAP MONTH - counts as month "&amp;$I35&amp;", flagged for review",""),"")</f>
        <v/>
      </c>
    </row>
    <row r="36">
      <c r="A36" s="12">
        <f>A35+1</f>
        <v/>
      </c>
      <c r="B36" s="0">
        <f>TEXT(A36,"ddd")</f>
        <v/>
      </c>
      <c r="C36" s="0">
        <f>IFERROR(INDEX(lunar_ref!$B:$B,MATCH($A36,lunar_ref!$A:$A,0)),"")</f>
        <v/>
      </c>
      <c r="D36" s="0">
        <f>IFERROR(INDEX(lunar_ref!$C:$C,MATCH($A36,lunar_ref!$A:$A,0)),"")</f>
        <v/>
      </c>
      <c r="E36" s="0">
        <f>_xlfn.XLOOKUP($D36,lookup!$A:$A,lookup!$B:$B)</f>
        <v/>
      </c>
      <c r="F36" s="0">
        <f>IF($E36=1,"New",IF($E36=15,"Full",""))</f>
        <v/>
      </c>
      <c r="H36" s="0">
        <f>IF($E36="","",IF(OR($E36=8,$E36=14,$E36=15,$E36=23,$E37=1,$E38=1),"Fast day",""))</f>
        <v/>
      </c>
      <c r="I36" s="0">
        <f>IFERROR(INDEX(lookup!$E:$E,MATCH($C36,lookup!$D:$D,0)),"")</f>
        <v/>
      </c>
      <c r="J36" s="0">
        <f>IF($I36="","",IF(OR($I36=1,$I36=5,$I36=9),IF($K36="","Long fast month","Long fast month (LEAP)"),""))</f>
        <v/>
      </c>
      <c r="K36" s="0">
        <f>IFERROR(IF(INDEX(lookup!$G:$G,MATCH($C36,lookup!$D:$D,0))="LEAP","LEAP MONTH - counts as month "&amp;$I36&amp;", flagged for review",""),"")</f>
        <v/>
      </c>
    </row>
    <row r="37">
      <c r="A37" s="12">
        <f>A36+1</f>
        <v/>
      </c>
      <c r="B37" s="0">
        <f>TEXT(A37,"ddd")</f>
        <v/>
      </c>
      <c r="C37" s="0">
        <f>IFERROR(INDEX(lunar_ref!$B:$B,MATCH($A37,lunar_ref!$A:$A,0)),"")</f>
        <v/>
      </c>
      <c r="D37" s="0">
        <f>IFERROR(INDEX(lunar_ref!$C:$C,MATCH($A37,lunar_ref!$A:$A,0)),"")</f>
        <v/>
      </c>
      <c r="E37" s="0">
        <f>_xlfn.XLOOKUP($D37,lookup!$A:$A,lookup!$B:$B)</f>
        <v/>
      </c>
      <c r="F37" s="0">
        <f>IF($E37=1,"New",IF($E37=15,"Full",""))</f>
        <v/>
      </c>
      <c r="H37" s="0">
        <f>IF($E37="","",IF(OR($E37=8,$E37=14,$E37=15,$E37=23,$E38=1,$E39=1),"Fast day",""))</f>
        <v/>
      </c>
      <c r="I37" s="0">
        <f>IFERROR(INDEX(lookup!$E:$E,MATCH($C37,lookup!$D:$D,0)),"")</f>
        <v/>
      </c>
      <c r="J37" s="0">
        <f>IF($I37="","",IF(OR($I37=1,$I37=5,$I37=9),IF($K37="","Long fast month","Long fast month (LEAP)"),""))</f>
        <v/>
      </c>
      <c r="K37" s="0">
        <f>IFERROR(IF(INDEX(lookup!$G:$G,MATCH($C37,lookup!$D:$D,0))="LEAP","LEAP MONTH - counts as month "&amp;$I37&amp;", flagged for review",""),"")</f>
        <v/>
      </c>
    </row>
    <row r="38">
      <c r="A38" s="12">
        <f>A37+1</f>
        <v/>
      </c>
      <c r="B38" s="0">
        <f>TEXT(A38,"ddd")</f>
        <v/>
      </c>
      <c r="C38" s="0">
        <f>IFERROR(INDEX(lunar_ref!$B:$B,MATCH($A38,lunar_ref!$A:$A,0)),"")</f>
        <v/>
      </c>
      <c r="D38" s="0">
        <f>IFERROR(INDEX(lunar_ref!$C:$C,MATCH($A38,lunar_ref!$A:$A,0)),"")</f>
        <v/>
      </c>
      <c r="E38" s="0">
        <f>_xlfn.XLOOKUP($D38,lookup!$A:$A,lookup!$B:$B)</f>
        <v/>
      </c>
      <c r="F38" s="0">
        <f>IF($E38=1,"New",IF($E38=15,"Full",""))</f>
        <v/>
      </c>
      <c r="H38" s="0">
        <f>IF($E38="","",IF(OR($E38=8,$E38=14,$E38=15,$E38=23,$E39=1,$E40=1),"Fast day",""))</f>
        <v/>
      </c>
      <c r="I38" s="0">
        <f>IFERROR(INDEX(lookup!$E:$E,MATCH($C38,lookup!$D:$D,0)),"")</f>
        <v/>
      </c>
      <c r="J38" s="0">
        <f>IF($I38="","",IF(OR($I38=1,$I38=5,$I38=9),IF($K38="","Long fast month","Long fast month (LEAP)"),""))</f>
        <v/>
      </c>
      <c r="K38" s="0">
        <f>IFERROR(IF(INDEX(lookup!$G:$G,MATCH($C38,lookup!$D:$D,0))="LEAP","LEAP MONTH - counts as month "&amp;$I38&amp;", flagged for review",""),"")</f>
        <v/>
      </c>
    </row>
    <row r="39">
      <c r="A39" s="12">
        <f>A38+1</f>
        <v/>
      </c>
      <c r="B39" s="0">
        <f>TEXT(A39,"ddd")</f>
        <v/>
      </c>
      <c r="C39" s="0">
        <f>IFERROR(INDEX(lunar_ref!$B:$B,MATCH($A39,lunar_ref!$A:$A,0)),"")</f>
        <v/>
      </c>
      <c r="D39" s="0">
        <f>IFERROR(INDEX(lunar_ref!$C:$C,MATCH($A39,lunar_ref!$A:$A,0)),"")</f>
        <v/>
      </c>
      <c r="E39" s="0">
        <f>_xlfn.XLOOKUP($D39,lookup!$A:$A,lookup!$B:$B)</f>
        <v/>
      </c>
      <c r="F39" s="0">
        <f>IF($E39=1,"New",IF($E39=15,"Full",""))</f>
        <v/>
      </c>
      <c r="H39" s="0">
        <f>IF($E39="","",IF(OR($E39=8,$E39=14,$E39=15,$E39=23,$E40=1,$E41=1),"Fast day",""))</f>
        <v/>
      </c>
      <c r="I39" s="0">
        <f>IFERROR(INDEX(lookup!$E:$E,MATCH($C39,lookup!$D:$D,0)),"")</f>
        <v/>
      </c>
      <c r="J39" s="0">
        <f>IF($I39="","",IF(OR($I39=1,$I39=5,$I39=9),IF($K39="","Long fast month","Long fast month (LEAP)"),""))</f>
        <v/>
      </c>
      <c r="K39" s="0">
        <f>IFERROR(IF(INDEX(lookup!$G:$G,MATCH($C39,lookup!$D:$D,0))="LEAP","LEAP MONTH - counts as month "&amp;$I39&amp;", flagged for review",""),"")</f>
        <v/>
      </c>
    </row>
    <row r="40">
      <c r="A40" s="12">
        <f>A39+1</f>
        <v/>
      </c>
      <c r="B40" s="0">
        <f>TEXT(A40,"ddd")</f>
        <v/>
      </c>
      <c r="C40" s="0">
        <f>IFERROR(INDEX(lunar_ref!$B:$B,MATCH($A40,lunar_ref!$A:$A,0)),"")</f>
        <v/>
      </c>
      <c r="D40" s="0">
        <f>IFERROR(INDEX(lunar_ref!$C:$C,MATCH($A40,lunar_ref!$A:$A,0)),"")</f>
        <v/>
      </c>
      <c r="E40" s="0">
        <f>_xlfn.XLOOKUP($D40,lookup!$A:$A,lookup!$B:$B)</f>
        <v/>
      </c>
      <c r="F40" s="0">
        <f>IF($E40=1,"New",IF($E40=15,"Full",""))</f>
        <v/>
      </c>
      <c r="H40" s="0">
        <f>IF($E40="","",IF(OR($E40=8,$E40=14,$E40=15,$E40=23,$E41=1,$E42=1),"Fast day",""))</f>
        <v/>
      </c>
      <c r="I40" s="0">
        <f>IFERROR(INDEX(lookup!$E:$E,MATCH($C40,lookup!$D:$D,0)),"")</f>
        <v/>
      </c>
      <c r="J40" s="0">
        <f>IF($I40="","",IF(OR($I40=1,$I40=5,$I40=9),IF($K40="","Long fast month","Long fast month (LEAP)"),""))</f>
        <v/>
      </c>
      <c r="K40" s="0">
        <f>IFERROR(IF(INDEX(lookup!$G:$G,MATCH($C40,lookup!$D:$D,0))="LEAP","LEAP MONTH - counts as month "&amp;$I40&amp;", flagged for review",""),"")</f>
        <v/>
      </c>
    </row>
    <row r="41">
      <c r="A41" s="12">
        <f>A40+1</f>
        <v/>
      </c>
      <c r="B41" s="0">
        <f>TEXT(A41,"ddd")</f>
        <v/>
      </c>
      <c r="C41" s="0">
        <f>IFERROR(INDEX(lunar_ref!$B:$B,MATCH($A41,lunar_ref!$A:$A,0)),"")</f>
        <v/>
      </c>
      <c r="D41" s="0">
        <f>IFERROR(INDEX(lunar_ref!$C:$C,MATCH($A41,lunar_ref!$A:$A,0)),"")</f>
        <v/>
      </c>
      <c r="E41" s="0">
        <f>_xlfn.XLOOKUP($D41,lookup!$A:$A,lookup!$B:$B)</f>
        <v/>
      </c>
      <c r="F41" s="0">
        <f>IF($E41=1,"New",IF($E41=15,"Full",""))</f>
        <v/>
      </c>
      <c r="H41" s="0">
        <f>IF($E41="","",IF(OR($E41=8,$E41=14,$E41=15,$E41=23,$E42=1,$E43=1),"Fast day",""))</f>
        <v/>
      </c>
      <c r="I41" s="0">
        <f>IFERROR(INDEX(lookup!$E:$E,MATCH($C41,lookup!$D:$D,0)),"")</f>
        <v/>
      </c>
      <c r="J41" s="0">
        <f>IF($I41="","",IF(OR($I41=1,$I41=5,$I41=9),IF($K41="","Long fast month","Long fast month (LEAP)"),""))</f>
        <v/>
      </c>
      <c r="K41" s="0">
        <f>IFERROR(IF(INDEX(lookup!$G:$G,MATCH($C41,lookup!$D:$D,0))="LEAP","LEAP MONTH - counts as month "&amp;$I41&amp;", flagged for review",""),"")</f>
        <v/>
      </c>
    </row>
    <row r="42">
      <c r="A42" s="12">
        <f>A41+1</f>
        <v/>
      </c>
      <c r="B42" s="0">
        <f>TEXT(A42,"ddd")</f>
        <v/>
      </c>
      <c r="C42" s="0">
        <f>IFERROR(INDEX(lunar_ref!$B:$B,MATCH($A42,lunar_ref!$A:$A,0)),"")</f>
        <v/>
      </c>
      <c r="D42" s="0">
        <f>IFERROR(INDEX(lunar_ref!$C:$C,MATCH($A42,lunar_ref!$A:$A,0)),"")</f>
        <v/>
      </c>
      <c r="E42" s="0">
        <f>_xlfn.XLOOKUP($D42,lookup!$A:$A,lookup!$B:$B)</f>
        <v/>
      </c>
      <c r="F42" s="0">
        <f>IF($E42=1,"New",IF($E42=15,"Full",""))</f>
        <v/>
      </c>
      <c r="H42" s="0">
        <f>IF($E42="","",IF(OR($E42=8,$E42=14,$E42=15,$E42=23,$E43=1,$E44=1),"Fast day",""))</f>
        <v/>
      </c>
      <c r="I42" s="0">
        <f>IFERROR(INDEX(lookup!$E:$E,MATCH($C42,lookup!$D:$D,0)),"")</f>
        <v/>
      </c>
      <c r="J42" s="0">
        <f>IF($I42="","",IF(OR($I42=1,$I42=5,$I42=9),IF($K42="","Long fast month","Long fast month (LEAP)"),""))</f>
        <v/>
      </c>
      <c r="K42" s="0">
        <f>IFERROR(IF(INDEX(lookup!$G:$G,MATCH($C42,lookup!$D:$D,0))="LEAP","LEAP MONTH - counts as month "&amp;$I42&amp;", flagged for review",""),"")</f>
        <v/>
      </c>
    </row>
    <row r="43">
      <c r="A43" s="12">
        <f>A42+1</f>
        <v/>
      </c>
      <c r="B43" s="0">
        <f>TEXT(A43,"ddd")</f>
        <v/>
      </c>
      <c r="C43" s="0">
        <f>IFERROR(INDEX(lunar_ref!$B:$B,MATCH($A43,lunar_ref!$A:$A,0)),"")</f>
        <v/>
      </c>
      <c r="D43" s="0">
        <f>IFERROR(INDEX(lunar_ref!$C:$C,MATCH($A43,lunar_ref!$A:$A,0)),"")</f>
        <v/>
      </c>
      <c r="E43" s="0">
        <f>_xlfn.XLOOKUP($D43,lookup!$A:$A,lookup!$B:$B)</f>
        <v/>
      </c>
      <c r="F43" s="0">
        <f>IF($E43=1,"New",IF($E43=15,"Full",""))</f>
        <v/>
      </c>
      <c r="H43" s="0">
        <f>IF($E43="","",IF(OR($E43=8,$E43=14,$E43=15,$E43=23,$E44=1,$E45=1),"Fast day",""))</f>
        <v/>
      </c>
      <c r="I43" s="0">
        <f>IFERROR(INDEX(lookup!$E:$E,MATCH($C43,lookup!$D:$D,0)),"")</f>
        <v/>
      </c>
      <c r="J43" s="0">
        <f>IF($I43="","",IF(OR($I43=1,$I43=5,$I43=9),IF($K43="","Long fast month","Long fast month (LEAP)"),""))</f>
        <v/>
      </c>
      <c r="K43" s="0">
        <f>IFERROR(IF(INDEX(lookup!$G:$G,MATCH($C43,lookup!$D:$D,0))="LEAP","LEAP MONTH - counts as month "&amp;$I43&amp;", flagged for review",""),"")</f>
        <v/>
      </c>
    </row>
    <row r="44">
      <c r="A44" s="12">
        <f>A43+1</f>
        <v/>
      </c>
      <c r="B44" s="0">
        <f>TEXT(A44,"ddd")</f>
        <v/>
      </c>
      <c r="C44" s="0">
        <f>IFERROR(INDEX(lunar_ref!$B:$B,MATCH($A44,lunar_ref!$A:$A,0)),"")</f>
        <v/>
      </c>
      <c r="D44" s="0">
        <f>IFERROR(INDEX(lunar_ref!$C:$C,MATCH($A44,lunar_ref!$A:$A,0)),"")</f>
        <v/>
      </c>
      <c r="E44" s="0">
        <f>_xlfn.XLOOKUP($D44,lookup!$A:$A,lookup!$B:$B)</f>
        <v/>
      </c>
      <c r="F44" s="0">
        <f>IF($E44=1,"New",IF($E44=15,"Full",""))</f>
        <v/>
      </c>
      <c r="H44" s="0">
        <f>IF($E44="","",IF(OR($E44=8,$E44=14,$E44=15,$E44=23,$E45=1,$E46=1),"Fast day",""))</f>
        <v/>
      </c>
      <c r="I44" s="0">
        <f>IFERROR(INDEX(lookup!$E:$E,MATCH($C44,lookup!$D:$D,0)),"")</f>
        <v/>
      </c>
      <c r="J44" s="0">
        <f>IF($I44="","",IF(OR($I44=1,$I44=5,$I44=9),IF($K44="","Long fast month","Long fast month (LEAP)"),""))</f>
        <v/>
      </c>
      <c r="K44" s="0">
        <f>IFERROR(IF(INDEX(lookup!$G:$G,MATCH($C44,lookup!$D:$D,0))="LEAP","LEAP MONTH - counts as month "&amp;$I44&amp;", flagged for review",""),"")</f>
        <v/>
      </c>
    </row>
    <row r="45">
      <c r="A45" s="12">
        <f>A44+1</f>
        <v/>
      </c>
      <c r="B45" s="0">
        <f>TEXT(A45,"ddd")</f>
        <v/>
      </c>
      <c r="C45" s="0">
        <f>IFERROR(INDEX(lunar_ref!$B:$B,MATCH($A45,lunar_ref!$A:$A,0)),"")</f>
        <v/>
      </c>
      <c r="D45" s="0">
        <f>IFERROR(INDEX(lunar_ref!$C:$C,MATCH($A45,lunar_ref!$A:$A,0)),"")</f>
        <v/>
      </c>
      <c r="E45" s="0">
        <f>_xlfn.XLOOKUP($D45,lookup!$A:$A,lookup!$B:$B)</f>
        <v/>
      </c>
      <c r="F45" s="0">
        <f>IF($E45=1,"New",IF($E45=15,"Full",""))</f>
        <v/>
      </c>
      <c r="H45" s="0">
        <f>IF($E45="","",IF(OR($E45=8,$E45=14,$E45=15,$E45=23,$E46=1,$E47=1),"Fast day",""))</f>
        <v/>
      </c>
      <c r="I45" s="0">
        <f>IFERROR(INDEX(lookup!$E:$E,MATCH($C45,lookup!$D:$D,0)),"")</f>
        <v/>
      </c>
      <c r="J45" s="0">
        <f>IF($I45="","",IF(OR($I45=1,$I45=5,$I45=9),IF($K45="","Long fast month","Long fast month (LEAP)"),""))</f>
        <v/>
      </c>
      <c r="K45" s="0">
        <f>IFERROR(IF(INDEX(lookup!$G:$G,MATCH($C45,lookup!$D:$D,0))="LEAP","LEAP MONTH - counts as month "&amp;$I45&amp;", flagged for review",""),"")</f>
        <v/>
      </c>
    </row>
    <row r="46">
      <c r="A46" s="12">
        <f>A45+1</f>
        <v/>
      </c>
      <c r="B46" s="0">
        <f>TEXT(A46,"ddd")</f>
        <v/>
      </c>
      <c r="C46" s="0">
        <f>IFERROR(INDEX(lunar_ref!$B:$B,MATCH($A46,lunar_ref!$A:$A,0)),"")</f>
        <v/>
      </c>
      <c r="D46" s="0">
        <f>IFERROR(INDEX(lunar_ref!$C:$C,MATCH($A46,lunar_ref!$A:$A,0)),"")</f>
        <v/>
      </c>
      <c r="E46" s="0">
        <f>_xlfn.XLOOKUP($D46,lookup!$A:$A,lookup!$B:$B)</f>
        <v/>
      </c>
      <c r="F46" s="0">
        <f>IF($E46=1,"New",IF($E46=15,"Full",""))</f>
        <v/>
      </c>
      <c r="H46" s="0">
        <f>IF($E46="","",IF(OR($E46=8,$E46=14,$E46=15,$E46=23,$E47=1,$E48=1),"Fast day",""))</f>
        <v/>
      </c>
      <c r="I46" s="0">
        <f>IFERROR(INDEX(lookup!$E:$E,MATCH($C46,lookup!$D:$D,0)),"")</f>
        <v/>
      </c>
      <c r="J46" s="0">
        <f>IF($I46="","",IF(OR($I46=1,$I46=5,$I46=9),IF($K46="","Long fast month","Long fast month (LEAP)"),""))</f>
        <v/>
      </c>
      <c r="K46" s="0">
        <f>IFERROR(IF(INDEX(lookup!$G:$G,MATCH($C46,lookup!$D:$D,0))="LEAP","LEAP MONTH - counts as month "&amp;$I46&amp;", flagged for review",""),"")</f>
        <v/>
      </c>
    </row>
    <row r="47">
      <c r="A47" s="12">
        <f>A46+1</f>
        <v/>
      </c>
      <c r="B47" s="0">
        <f>TEXT(A47,"ddd")</f>
        <v/>
      </c>
      <c r="C47" s="0">
        <f>IFERROR(INDEX(lunar_ref!$B:$B,MATCH($A47,lunar_ref!$A:$A,0)),"")</f>
        <v/>
      </c>
      <c r="D47" s="0">
        <f>IFERROR(INDEX(lunar_ref!$C:$C,MATCH($A47,lunar_ref!$A:$A,0)),"")</f>
        <v/>
      </c>
      <c r="E47" s="0">
        <f>_xlfn.XLOOKUP($D47,lookup!$A:$A,lookup!$B:$B)</f>
        <v/>
      </c>
      <c r="F47" s="0">
        <f>IF($E47=1,"New",IF($E47=15,"Full",""))</f>
        <v/>
      </c>
      <c r="H47" s="0">
        <f>IF($E47="","",IF(OR($E47=8,$E47=14,$E47=15,$E47=23,$E48=1,$E49=1),"Fast day",""))</f>
        <v/>
      </c>
      <c r="I47" s="0">
        <f>IFERROR(INDEX(lookup!$E:$E,MATCH($C47,lookup!$D:$D,0)),"")</f>
        <v/>
      </c>
      <c r="J47" s="0">
        <f>IF($I47="","",IF(OR($I47=1,$I47=5,$I47=9),IF($K47="","Long fast month","Long fast month (LEAP)"),""))</f>
        <v/>
      </c>
      <c r="K47" s="0">
        <f>IFERROR(IF(INDEX(lookup!$G:$G,MATCH($C47,lookup!$D:$D,0))="LEAP","LEAP MONTH - counts as month "&amp;$I47&amp;", flagged for review",""),"")</f>
        <v/>
      </c>
    </row>
    <row r="48">
      <c r="A48" s="12">
        <f>A47+1</f>
        <v/>
      </c>
      <c r="B48" s="0">
        <f>TEXT(A48,"ddd")</f>
        <v/>
      </c>
      <c r="C48" s="0">
        <f>IFERROR(INDEX(lunar_ref!$B:$B,MATCH($A48,lunar_ref!$A:$A,0)),"")</f>
        <v/>
      </c>
      <c r="D48" s="0">
        <f>IFERROR(INDEX(lunar_ref!$C:$C,MATCH($A48,lunar_ref!$A:$A,0)),"")</f>
        <v/>
      </c>
      <c r="E48" s="0">
        <f>_xlfn.XLOOKUP($D48,lookup!$A:$A,lookup!$B:$B)</f>
        <v/>
      </c>
      <c r="F48" s="0">
        <f>IF($E48=1,"New",IF($E48=15,"Full",""))</f>
        <v/>
      </c>
      <c r="H48" s="0">
        <f>IF($E48="","",IF(OR($E48=8,$E48=14,$E48=15,$E48=23,$E49=1,$E50=1),"Fast day",""))</f>
        <v/>
      </c>
      <c r="I48" s="0">
        <f>IFERROR(INDEX(lookup!$E:$E,MATCH($C48,lookup!$D:$D,0)),"")</f>
        <v/>
      </c>
      <c r="J48" s="0">
        <f>IF($I48="","",IF(OR($I48=1,$I48=5,$I48=9),IF($K48="","Long fast month","Long fast month (LEAP)"),""))</f>
        <v/>
      </c>
      <c r="K48" s="0">
        <f>IFERROR(IF(INDEX(lookup!$G:$G,MATCH($C48,lookup!$D:$D,0))="LEAP","LEAP MONTH - counts as month "&amp;$I48&amp;", flagged for review",""),"")</f>
        <v/>
      </c>
    </row>
    <row r="49">
      <c r="A49" s="12">
        <f>A48+1</f>
        <v/>
      </c>
      <c r="B49" s="0">
        <f>TEXT(A49,"ddd")</f>
        <v/>
      </c>
      <c r="C49" s="0">
        <f>IFERROR(INDEX(lunar_ref!$B:$B,MATCH($A49,lunar_ref!$A:$A,0)),"")</f>
        <v/>
      </c>
      <c r="D49" s="0">
        <f>IFERROR(INDEX(lunar_ref!$C:$C,MATCH($A49,lunar_ref!$A:$A,0)),"")</f>
        <v/>
      </c>
      <c r="E49" s="0">
        <f>_xlfn.XLOOKUP($D49,lookup!$A:$A,lookup!$B:$B)</f>
        <v/>
      </c>
      <c r="F49" s="0">
        <f>IF($E49=1,"New",IF($E49=15,"Full",""))</f>
        <v/>
      </c>
      <c r="H49" s="0">
        <f>IF($E49="","",IF(OR($E49=8,$E49=14,$E49=15,$E49=23,$E50=1,$E51=1),"Fast day",""))</f>
        <v/>
      </c>
      <c r="I49" s="0">
        <f>IFERROR(INDEX(lookup!$E:$E,MATCH($C49,lookup!$D:$D,0)),"")</f>
        <v/>
      </c>
      <c r="J49" s="0">
        <f>IF($I49="","",IF(OR($I49=1,$I49=5,$I49=9),IF($K49="","Long fast month","Long fast month (LEAP)"),""))</f>
        <v/>
      </c>
      <c r="K49" s="0">
        <f>IFERROR(IF(INDEX(lookup!$G:$G,MATCH($C49,lookup!$D:$D,0))="LEAP","LEAP MONTH - counts as month "&amp;$I49&amp;", flagged for review",""),"")</f>
        <v/>
      </c>
    </row>
    <row r="50">
      <c r="A50" s="12">
        <f>A49+1</f>
        <v/>
      </c>
      <c r="B50" s="0">
        <f>TEXT(A50,"ddd")</f>
        <v/>
      </c>
      <c r="C50" s="0">
        <f>IFERROR(INDEX(lunar_ref!$B:$B,MATCH($A50,lunar_ref!$A:$A,0)),"")</f>
        <v/>
      </c>
      <c r="D50" s="0">
        <f>IFERROR(INDEX(lunar_ref!$C:$C,MATCH($A50,lunar_ref!$A:$A,0)),"")</f>
        <v/>
      </c>
      <c r="E50" s="0">
        <f>_xlfn.XLOOKUP($D50,lookup!$A:$A,lookup!$B:$B)</f>
        <v/>
      </c>
      <c r="F50" s="0">
        <f>IF($E50=1,"New",IF($E50=15,"Full",""))</f>
        <v/>
      </c>
      <c r="H50" s="0">
        <f>IF($E50="","",IF(OR($E50=8,$E50=14,$E50=15,$E50=23,$E51=1,$E52=1),"Fast day",""))</f>
        <v/>
      </c>
      <c r="I50" s="0">
        <f>IFERROR(INDEX(lookup!$E:$E,MATCH($C50,lookup!$D:$D,0)),"")</f>
        <v/>
      </c>
      <c r="J50" s="0">
        <f>IF($I50="","",IF(OR($I50=1,$I50=5,$I50=9),IF($K50="","Long fast month","Long fast month (LEAP)"),""))</f>
        <v/>
      </c>
      <c r="K50" s="0">
        <f>IFERROR(IF(INDEX(lookup!$G:$G,MATCH($C50,lookup!$D:$D,0))="LEAP","LEAP MONTH - counts as month "&amp;$I50&amp;", flagged for review",""),"")</f>
        <v/>
      </c>
    </row>
    <row r="51">
      <c r="A51" s="12">
        <f>A50+1</f>
        <v/>
      </c>
      <c r="B51" s="0">
        <f>TEXT(A51,"ddd")</f>
        <v/>
      </c>
      <c r="C51" s="0">
        <f>IFERROR(INDEX(lunar_ref!$B:$B,MATCH($A51,lunar_ref!$A:$A,0)),"")</f>
        <v/>
      </c>
      <c r="D51" s="0">
        <f>IFERROR(INDEX(lunar_ref!$C:$C,MATCH($A51,lunar_ref!$A:$A,0)),"")</f>
        <v/>
      </c>
      <c r="E51" s="0">
        <f>_xlfn.XLOOKUP($D51,lookup!$A:$A,lookup!$B:$B)</f>
        <v/>
      </c>
      <c r="F51" s="0">
        <f>IF($E51=1,"New",IF($E51=15,"Full",""))</f>
        <v/>
      </c>
      <c r="H51" s="0">
        <f>IF($E51="","",IF(OR($E51=8,$E51=14,$E51=15,$E51=23,$E52=1,$E53=1),"Fast day",""))</f>
        <v/>
      </c>
      <c r="I51" s="0">
        <f>IFERROR(INDEX(lookup!$E:$E,MATCH($C51,lookup!$D:$D,0)),"")</f>
        <v/>
      </c>
      <c r="J51" s="0">
        <f>IF($I51="","",IF(OR($I51=1,$I51=5,$I51=9),IF($K51="","Long fast month","Long fast month (LEAP)"),""))</f>
        <v/>
      </c>
      <c r="K51" s="0">
        <f>IFERROR(IF(INDEX(lookup!$G:$G,MATCH($C51,lookup!$D:$D,0))="LEAP","LEAP MONTH - counts as month "&amp;$I51&amp;", flagged for review",""),"")</f>
        <v/>
      </c>
    </row>
    <row r="52">
      <c r="A52" s="12">
        <f>A51+1</f>
        <v/>
      </c>
      <c r="B52" s="0">
        <f>TEXT(A52,"ddd")</f>
        <v/>
      </c>
      <c r="C52" s="0">
        <f>IFERROR(INDEX(lunar_ref!$B:$B,MATCH($A52,lunar_ref!$A:$A,0)),"")</f>
        <v/>
      </c>
      <c r="D52" s="0">
        <f>IFERROR(INDEX(lunar_ref!$C:$C,MATCH($A52,lunar_ref!$A:$A,0)),"")</f>
        <v/>
      </c>
      <c r="E52" s="0">
        <f>_xlfn.XLOOKUP($D52,lookup!$A:$A,lookup!$B:$B)</f>
        <v/>
      </c>
      <c r="F52" s="0">
        <f>IF($E52=1,"New",IF($E52=15,"Full",""))</f>
        <v/>
      </c>
      <c r="H52" s="0">
        <f>IF($E52="","",IF(OR($E52=8,$E52=14,$E52=15,$E52=23,$E53=1,$E54=1),"Fast day",""))</f>
        <v/>
      </c>
      <c r="I52" s="0">
        <f>IFERROR(INDEX(lookup!$E:$E,MATCH($C52,lookup!$D:$D,0)),"")</f>
        <v/>
      </c>
      <c r="J52" s="0">
        <f>IF($I52="","",IF(OR($I52=1,$I52=5,$I52=9),IF($K52="","Long fast month","Long fast month (LEAP)"),""))</f>
        <v/>
      </c>
      <c r="K52" s="0">
        <f>IFERROR(IF(INDEX(lookup!$G:$G,MATCH($C52,lookup!$D:$D,0))="LEAP","LEAP MONTH - counts as month "&amp;$I52&amp;", flagged for review",""),"")</f>
        <v/>
      </c>
    </row>
    <row r="53">
      <c r="A53" s="12">
        <f>A52+1</f>
        <v/>
      </c>
      <c r="B53" s="0">
        <f>TEXT(A53,"ddd")</f>
        <v/>
      </c>
      <c r="C53" s="0">
        <f>IFERROR(INDEX(lunar_ref!$B:$B,MATCH($A53,lunar_ref!$A:$A,0)),"")</f>
        <v/>
      </c>
      <c r="D53" s="0">
        <f>IFERROR(INDEX(lunar_ref!$C:$C,MATCH($A53,lunar_ref!$A:$A,0)),"")</f>
        <v/>
      </c>
      <c r="E53" s="0">
        <f>_xlfn.XLOOKUP($D53,lookup!$A:$A,lookup!$B:$B)</f>
        <v/>
      </c>
      <c r="F53" s="0">
        <f>IF($E53=1,"New",IF($E53=15,"Full",""))</f>
        <v/>
      </c>
      <c r="H53" s="0">
        <f>IF($E53="","",IF(OR($E53=8,$E53=14,$E53=15,$E53=23,$E54=1,$E55=1),"Fast day",""))</f>
        <v/>
      </c>
      <c r="I53" s="0">
        <f>IFERROR(INDEX(lookup!$E:$E,MATCH($C53,lookup!$D:$D,0)),"")</f>
        <v/>
      </c>
      <c r="J53" s="0">
        <f>IF($I53="","",IF(OR($I53=1,$I53=5,$I53=9),IF($K53="","Long fast month","Long fast month (LEAP)"),""))</f>
        <v/>
      </c>
      <c r="K53" s="0">
        <f>IFERROR(IF(INDEX(lookup!$G:$G,MATCH($C53,lookup!$D:$D,0))="LEAP","LEAP MONTH - counts as month "&amp;$I53&amp;", flagged for review",""),"")</f>
        <v/>
      </c>
    </row>
    <row r="54">
      <c r="A54" s="12">
        <f>A53+1</f>
        <v/>
      </c>
      <c r="B54" s="0">
        <f>TEXT(A54,"ddd")</f>
        <v/>
      </c>
      <c r="C54" s="0">
        <f>IFERROR(INDEX(lunar_ref!$B:$B,MATCH($A54,lunar_ref!$A:$A,0)),"")</f>
        <v/>
      </c>
      <c r="D54" s="0">
        <f>IFERROR(INDEX(lunar_ref!$C:$C,MATCH($A54,lunar_ref!$A:$A,0)),"")</f>
        <v/>
      </c>
      <c r="E54" s="0">
        <f>_xlfn.XLOOKUP($D54,lookup!$A:$A,lookup!$B:$B)</f>
        <v/>
      </c>
      <c r="F54" s="0">
        <f>IF($E54=1,"New",IF($E54=15,"Full",""))</f>
        <v/>
      </c>
      <c r="H54" s="0">
        <f>IF($E54="","",IF(OR($E54=8,$E54=14,$E54=15,$E54=23,$E55=1,$E56=1),"Fast day",""))</f>
        <v/>
      </c>
      <c r="I54" s="0">
        <f>IFERROR(INDEX(lookup!$E:$E,MATCH($C54,lookup!$D:$D,0)),"")</f>
        <v/>
      </c>
      <c r="J54" s="0">
        <f>IF($I54="","",IF(OR($I54=1,$I54=5,$I54=9),IF($K54="","Long fast month","Long fast month (LEAP)"),""))</f>
        <v/>
      </c>
      <c r="K54" s="0">
        <f>IFERROR(IF(INDEX(lookup!$G:$G,MATCH($C54,lookup!$D:$D,0))="LEAP","LEAP MONTH - counts as month "&amp;$I54&amp;", flagged for review",""),"")</f>
        <v/>
      </c>
    </row>
    <row r="55">
      <c r="A55" s="12">
        <f>A54+1</f>
        <v/>
      </c>
      <c r="B55" s="0">
        <f>TEXT(A55,"ddd")</f>
        <v/>
      </c>
      <c r="C55" s="0">
        <f>IFERROR(INDEX(lunar_ref!$B:$B,MATCH($A55,lunar_ref!$A:$A,0)),"")</f>
        <v/>
      </c>
      <c r="D55" s="0">
        <f>IFERROR(INDEX(lunar_ref!$C:$C,MATCH($A55,lunar_ref!$A:$A,0)),"")</f>
        <v/>
      </c>
      <c r="E55" s="0">
        <f>_xlfn.XLOOKUP($D55,lookup!$A:$A,lookup!$B:$B)</f>
        <v/>
      </c>
      <c r="F55" s="0">
        <f>IF($E55=1,"New",IF($E55=15,"Full",""))</f>
        <v/>
      </c>
      <c r="H55" s="0">
        <f>IF($E55="","",IF(OR($E55=8,$E55=14,$E55=15,$E55=23,$E56=1,$E57=1),"Fast day",""))</f>
        <v/>
      </c>
      <c r="I55" s="0">
        <f>IFERROR(INDEX(lookup!$E:$E,MATCH($C55,lookup!$D:$D,0)),"")</f>
        <v/>
      </c>
      <c r="J55" s="0">
        <f>IF($I55="","",IF(OR($I55=1,$I55=5,$I55=9),IF($K55="","Long fast month","Long fast month (LEAP)"),""))</f>
        <v/>
      </c>
      <c r="K55" s="0">
        <f>IFERROR(IF(INDEX(lookup!$G:$G,MATCH($C55,lookup!$D:$D,0))="LEAP","LEAP MONTH - counts as month "&amp;$I55&amp;", flagged for review",""),"")</f>
        <v/>
      </c>
    </row>
    <row r="56">
      <c r="A56" s="12">
        <f>A55+1</f>
        <v/>
      </c>
      <c r="B56" s="0">
        <f>TEXT(A56,"ddd")</f>
        <v/>
      </c>
      <c r="C56" s="0">
        <f>IFERROR(INDEX(lunar_ref!$B:$B,MATCH($A56,lunar_ref!$A:$A,0)),"")</f>
        <v/>
      </c>
      <c r="D56" s="0">
        <f>IFERROR(INDEX(lunar_ref!$C:$C,MATCH($A56,lunar_ref!$A:$A,0)),"")</f>
        <v/>
      </c>
      <c r="E56" s="0">
        <f>_xlfn.XLOOKUP($D56,lookup!$A:$A,lookup!$B:$B)</f>
        <v/>
      </c>
      <c r="F56" s="0">
        <f>IF($E56=1,"New",IF($E56=15,"Full",""))</f>
        <v/>
      </c>
      <c r="H56" s="0">
        <f>IF($E56="","",IF(OR($E56=8,$E56=14,$E56=15,$E56=23,$E57=1,$E58=1),"Fast day",""))</f>
        <v/>
      </c>
      <c r="I56" s="0">
        <f>IFERROR(INDEX(lookup!$E:$E,MATCH($C56,lookup!$D:$D,0)),"")</f>
        <v/>
      </c>
      <c r="J56" s="0">
        <f>IF($I56="","",IF(OR($I56=1,$I56=5,$I56=9),IF($K56="","Long fast month","Long fast month (LEAP)"),""))</f>
        <v/>
      </c>
      <c r="K56" s="0">
        <f>IFERROR(IF(INDEX(lookup!$G:$G,MATCH($C56,lookup!$D:$D,0))="LEAP","LEAP MONTH - counts as month "&amp;$I56&amp;", flagged for review",""),"")</f>
        <v/>
      </c>
    </row>
    <row r="57">
      <c r="A57" s="12">
        <f>A56+1</f>
        <v/>
      </c>
      <c r="B57" s="0">
        <f>TEXT(A57,"ddd")</f>
        <v/>
      </c>
      <c r="C57" s="0">
        <f>IFERROR(INDEX(lunar_ref!$B:$B,MATCH($A57,lunar_ref!$A:$A,0)),"")</f>
        <v/>
      </c>
      <c r="D57" s="0">
        <f>IFERROR(INDEX(lunar_ref!$C:$C,MATCH($A57,lunar_ref!$A:$A,0)),"")</f>
        <v/>
      </c>
      <c r="E57" s="0">
        <f>_xlfn.XLOOKUP($D57,lookup!$A:$A,lookup!$B:$B)</f>
        <v/>
      </c>
      <c r="F57" s="0">
        <f>IF($E57=1,"New",IF($E57=15,"Full",""))</f>
        <v/>
      </c>
      <c r="H57" s="0">
        <f>IF($E57="","",IF(OR($E57=8,$E57=14,$E57=15,$E57=23,$E58=1,$E59=1),"Fast day",""))</f>
        <v/>
      </c>
      <c r="I57" s="0">
        <f>IFERROR(INDEX(lookup!$E:$E,MATCH($C57,lookup!$D:$D,0)),"")</f>
        <v/>
      </c>
      <c r="J57" s="0">
        <f>IF($I57="","",IF(OR($I57=1,$I57=5,$I57=9),IF($K57="","Long fast month","Long fast month (LEAP)"),""))</f>
        <v/>
      </c>
      <c r="K57" s="0">
        <f>IFERROR(IF(INDEX(lookup!$G:$G,MATCH($C57,lookup!$D:$D,0))="LEAP","LEAP MONTH - counts as month "&amp;$I57&amp;", flagged for review",""),"")</f>
        <v/>
      </c>
    </row>
    <row r="58">
      <c r="A58" s="12">
        <f>A57+1</f>
        <v/>
      </c>
      <c r="B58" s="0">
        <f>TEXT(A58,"ddd")</f>
        <v/>
      </c>
      <c r="C58" s="0">
        <f>IFERROR(INDEX(lunar_ref!$B:$B,MATCH($A58,lunar_ref!$A:$A,0)),"")</f>
        <v/>
      </c>
      <c r="D58" s="0">
        <f>IFERROR(INDEX(lunar_ref!$C:$C,MATCH($A58,lunar_ref!$A:$A,0)),"")</f>
        <v/>
      </c>
      <c r="E58" s="0">
        <f>_xlfn.XLOOKUP($D58,lookup!$A:$A,lookup!$B:$B)</f>
        <v/>
      </c>
      <c r="F58" s="0">
        <f>IF($E58=1,"New",IF($E58=15,"Full",""))</f>
        <v/>
      </c>
      <c r="H58" s="0">
        <f>IF($E58="","",IF(OR($E58=8,$E58=14,$E58=15,$E58=23,$E59=1,$E60=1),"Fast day",""))</f>
        <v/>
      </c>
      <c r="I58" s="0">
        <f>IFERROR(INDEX(lookup!$E:$E,MATCH($C58,lookup!$D:$D,0)),"")</f>
        <v/>
      </c>
      <c r="J58" s="0">
        <f>IF($I58="","",IF(OR($I58=1,$I58=5,$I58=9),IF($K58="","Long fast month","Long fast month (LEAP)"),""))</f>
        <v/>
      </c>
      <c r="K58" s="0">
        <f>IFERROR(IF(INDEX(lookup!$G:$G,MATCH($C58,lookup!$D:$D,0))="LEAP","LEAP MONTH - counts as month "&amp;$I58&amp;", flagged for review",""),"")</f>
        <v/>
      </c>
    </row>
    <row r="59">
      <c r="A59" s="12">
        <f>A58+1</f>
        <v/>
      </c>
      <c r="B59" s="0">
        <f>TEXT(A59,"ddd")</f>
        <v/>
      </c>
      <c r="C59" s="0">
        <f>IFERROR(INDEX(lunar_ref!$B:$B,MATCH($A59,lunar_ref!$A:$A,0)),"")</f>
        <v/>
      </c>
      <c r="D59" s="0">
        <f>IFERROR(INDEX(lunar_ref!$C:$C,MATCH($A59,lunar_ref!$A:$A,0)),"")</f>
        <v/>
      </c>
      <c r="E59" s="0">
        <f>_xlfn.XLOOKUP($D59,lookup!$A:$A,lookup!$B:$B)</f>
        <v/>
      </c>
      <c r="F59" s="0">
        <f>IF($E59=1,"New",IF($E59=15,"Full",""))</f>
        <v/>
      </c>
      <c r="H59" s="0">
        <f>IF($E59="","",IF(OR($E59=8,$E59=14,$E59=15,$E59=23,$E60=1,$E61=1),"Fast day",""))</f>
        <v/>
      </c>
      <c r="I59" s="0">
        <f>IFERROR(INDEX(lookup!$E:$E,MATCH($C59,lookup!$D:$D,0)),"")</f>
        <v/>
      </c>
      <c r="J59" s="0">
        <f>IF($I59="","",IF(OR($I59=1,$I59=5,$I59=9),IF($K59="","Long fast month","Long fast month (LEAP)"),""))</f>
        <v/>
      </c>
      <c r="K59" s="0">
        <f>IFERROR(IF(INDEX(lookup!$G:$G,MATCH($C59,lookup!$D:$D,0))="LEAP","LEAP MONTH - counts as month "&amp;$I59&amp;", flagged for review",""),"")</f>
        <v/>
      </c>
    </row>
    <row r="60">
      <c r="A60" s="12">
        <f>A59+1</f>
        <v/>
      </c>
      <c r="B60" s="0">
        <f>TEXT(A60,"ddd")</f>
        <v/>
      </c>
      <c r="C60" s="0">
        <f>IFERROR(INDEX(lunar_ref!$B:$B,MATCH($A60,lunar_ref!$A:$A,0)),"")</f>
        <v/>
      </c>
      <c r="D60" s="0">
        <f>IFERROR(INDEX(lunar_ref!$C:$C,MATCH($A60,lunar_ref!$A:$A,0)),"")</f>
        <v/>
      </c>
      <c r="E60" s="0">
        <f>_xlfn.XLOOKUP($D60,lookup!$A:$A,lookup!$B:$B)</f>
        <v/>
      </c>
      <c r="F60" s="0">
        <f>IF($E60=1,"New",IF($E60=15,"Full",""))</f>
        <v/>
      </c>
      <c r="H60" s="0">
        <f>IF($E60="","",IF(OR($E60=8,$E60=14,$E60=15,$E60=23,$E61=1,$E62=1),"Fast day",""))</f>
        <v/>
      </c>
      <c r="I60" s="0">
        <f>IFERROR(INDEX(lookup!$E:$E,MATCH($C60,lookup!$D:$D,0)),"")</f>
        <v/>
      </c>
      <c r="J60" s="0">
        <f>IF($I60="","",IF(OR($I60=1,$I60=5,$I60=9),IF($K60="","Long fast month","Long fast month (LEAP)"),""))</f>
        <v/>
      </c>
      <c r="K60" s="0">
        <f>IFERROR(IF(INDEX(lookup!$G:$G,MATCH($C60,lookup!$D:$D,0))="LEAP","LEAP MONTH - counts as month "&amp;$I60&amp;", flagged for review",""),"")</f>
        <v/>
      </c>
    </row>
    <row r="61">
      <c r="A61" s="12">
        <f>A60+1</f>
        <v/>
      </c>
      <c r="B61" s="0">
        <f>TEXT(A61,"ddd")</f>
        <v/>
      </c>
      <c r="C61" s="0">
        <f>IFERROR(INDEX(lunar_ref!$B:$B,MATCH($A61,lunar_ref!$A:$A,0)),"")</f>
        <v/>
      </c>
      <c r="D61" s="0">
        <f>IFERROR(INDEX(lunar_ref!$C:$C,MATCH($A61,lunar_ref!$A:$A,0)),"")</f>
        <v/>
      </c>
      <c r="E61" s="0">
        <f>_xlfn.XLOOKUP($D61,lookup!$A:$A,lookup!$B:$B)</f>
        <v/>
      </c>
      <c r="F61" s="0">
        <f>IF($E61=1,"New",IF($E61=15,"Full",""))</f>
        <v/>
      </c>
      <c r="H61" s="0">
        <f>IF($E61="","",IF(OR($E61=8,$E61=14,$E61=15,$E61=23,$E62=1,$E63=1),"Fast day",""))</f>
        <v/>
      </c>
      <c r="I61" s="0">
        <f>IFERROR(INDEX(lookup!$E:$E,MATCH($C61,lookup!$D:$D,0)),"")</f>
        <v/>
      </c>
      <c r="J61" s="0">
        <f>IF($I61="","",IF(OR($I61=1,$I61=5,$I61=9),IF($K61="","Long fast month","Long fast month (LEAP)"),""))</f>
        <v/>
      </c>
      <c r="K61" s="0">
        <f>IFERROR(IF(INDEX(lookup!$G:$G,MATCH($C61,lookup!$D:$D,0))="LEAP","LEAP MONTH - counts as month "&amp;$I61&amp;", flagged for review",""),"")</f>
        <v/>
      </c>
    </row>
    <row r="62">
      <c r="A62" s="12">
        <f>A61+1</f>
        <v/>
      </c>
      <c r="B62" s="0">
        <f>TEXT(A62,"ddd")</f>
        <v/>
      </c>
      <c r="C62" s="0">
        <f>IFERROR(INDEX(lunar_ref!$B:$B,MATCH($A62,lunar_ref!$A:$A,0)),"")</f>
        <v/>
      </c>
      <c r="D62" s="0">
        <f>IFERROR(INDEX(lunar_ref!$C:$C,MATCH($A62,lunar_ref!$A:$A,0)),"")</f>
        <v/>
      </c>
      <c r="E62" s="0">
        <f>_xlfn.XLOOKUP($D62,lookup!$A:$A,lookup!$B:$B)</f>
        <v/>
      </c>
      <c r="F62" s="0">
        <f>IF($E62=1,"New",IF($E62=15,"Full",""))</f>
        <v/>
      </c>
      <c r="H62" s="0">
        <f>IF($E62="","",IF(OR($E62=8,$E62=14,$E62=15,$E62=23,$E63=1,$E64=1),"Fast day",""))</f>
        <v/>
      </c>
      <c r="I62" s="0">
        <f>IFERROR(INDEX(lookup!$E:$E,MATCH($C62,lookup!$D:$D,0)),"")</f>
        <v/>
      </c>
      <c r="J62" s="0">
        <f>IF($I62="","",IF(OR($I62=1,$I62=5,$I62=9),IF($K62="","Long fast month","Long fast month (LEAP)"),""))</f>
        <v/>
      </c>
      <c r="K62" s="0">
        <f>IFERROR(IF(INDEX(lookup!$G:$G,MATCH($C62,lookup!$D:$D,0))="LEAP","LEAP MONTH - counts as month "&amp;$I62&amp;", flagged for review",""),"")</f>
        <v/>
      </c>
    </row>
    <row r="63">
      <c r="A63" s="12">
        <f>A62+1</f>
        <v/>
      </c>
      <c r="B63" s="0">
        <f>TEXT(A63,"ddd")</f>
        <v/>
      </c>
      <c r="C63" s="0">
        <f>IFERROR(INDEX(lunar_ref!$B:$B,MATCH($A63,lunar_ref!$A:$A,0)),"")</f>
        <v/>
      </c>
      <c r="D63" s="0">
        <f>IFERROR(INDEX(lunar_ref!$C:$C,MATCH($A63,lunar_ref!$A:$A,0)),"")</f>
        <v/>
      </c>
      <c r="E63" s="0">
        <f>_xlfn.XLOOKUP($D63,lookup!$A:$A,lookup!$B:$B)</f>
        <v/>
      </c>
      <c r="F63" s="0">
        <f>IF($E63=1,"New",IF($E63=15,"Full",""))</f>
        <v/>
      </c>
      <c r="H63" s="0">
        <f>IF($E63="","",IF(OR($E63=8,$E63=14,$E63=15,$E63=23,$E64=1,$E65=1),"Fast day",""))</f>
        <v/>
      </c>
      <c r="I63" s="0">
        <f>IFERROR(INDEX(lookup!$E:$E,MATCH($C63,lookup!$D:$D,0)),"")</f>
        <v/>
      </c>
      <c r="J63" s="0">
        <f>IF($I63="","",IF(OR($I63=1,$I63=5,$I63=9),IF($K63="","Long fast month","Long fast month (LEAP)"),""))</f>
        <v/>
      </c>
      <c r="K63" s="0">
        <f>IFERROR(IF(INDEX(lookup!$G:$G,MATCH($C63,lookup!$D:$D,0))="LEAP","LEAP MONTH - counts as month "&amp;$I63&amp;", flagged for review",""),"")</f>
        <v/>
      </c>
    </row>
    <row r="64">
      <c r="A64" s="12">
        <f>A63+1</f>
        <v/>
      </c>
      <c r="B64" s="0">
        <f>TEXT(A64,"ddd")</f>
        <v/>
      </c>
      <c r="C64" s="0">
        <f>IFERROR(INDEX(lunar_ref!$B:$B,MATCH($A64,lunar_ref!$A:$A,0)),"")</f>
        <v/>
      </c>
      <c r="D64" s="0">
        <f>IFERROR(INDEX(lunar_ref!$C:$C,MATCH($A64,lunar_ref!$A:$A,0)),"")</f>
        <v/>
      </c>
      <c r="E64" s="0">
        <f>_xlfn.XLOOKUP($D64,lookup!$A:$A,lookup!$B:$B)</f>
        <v/>
      </c>
      <c r="F64" s="0">
        <f>IF($E64=1,"New",IF($E64=15,"Full",""))</f>
        <v/>
      </c>
      <c r="H64" s="0">
        <f>IF($E64="","",IF(OR($E64=8,$E64=14,$E64=15,$E64=23,$E65=1,$E66=1),"Fast day",""))</f>
        <v/>
      </c>
      <c r="I64" s="0">
        <f>IFERROR(INDEX(lookup!$E:$E,MATCH($C64,lookup!$D:$D,0)),"")</f>
        <v/>
      </c>
      <c r="J64" s="0">
        <f>IF($I64="","",IF(OR($I64=1,$I64=5,$I64=9),IF($K64="","Long fast month","Long fast month (LEAP)"),""))</f>
        <v/>
      </c>
      <c r="K64" s="0">
        <f>IFERROR(IF(INDEX(lookup!$G:$G,MATCH($C64,lookup!$D:$D,0))="LEAP","LEAP MONTH - counts as month "&amp;$I64&amp;", flagged for review",""),"")</f>
        <v/>
      </c>
    </row>
    <row r="65">
      <c r="A65" s="12">
        <f>A64+1</f>
        <v/>
      </c>
      <c r="B65" s="0">
        <f>TEXT(A65,"ddd")</f>
        <v/>
      </c>
      <c r="C65" s="0">
        <f>IFERROR(INDEX(lunar_ref!$B:$B,MATCH($A65,lunar_ref!$A:$A,0)),"")</f>
        <v/>
      </c>
      <c r="D65" s="0">
        <f>IFERROR(INDEX(lunar_ref!$C:$C,MATCH($A65,lunar_ref!$A:$A,0)),"")</f>
        <v/>
      </c>
      <c r="E65" s="0">
        <f>_xlfn.XLOOKUP($D65,lookup!$A:$A,lookup!$B:$B)</f>
        <v/>
      </c>
      <c r="F65" s="0">
        <f>IF($E65=1,"New",IF($E65=15,"Full",""))</f>
        <v/>
      </c>
      <c r="H65" s="0">
        <f>IF($E65="","",IF(OR($E65=8,$E65=14,$E65=15,$E65=23,$E66=1,$E67=1),"Fast day",""))</f>
        <v/>
      </c>
      <c r="I65" s="0">
        <f>IFERROR(INDEX(lookup!$E:$E,MATCH($C65,lookup!$D:$D,0)),"")</f>
        <v/>
      </c>
      <c r="J65" s="0">
        <f>IF($I65="","",IF(OR($I65=1,$I65=5,$I65=9),IF($K65="","Long fast month","Long fast month (LEAP)"),""))</f>
        <v/>
      </c>
      <c r="K65" s="0">
        <f>IFERROR(IF(INDEX(lookup!$G:$G,MATCH($C65,lookup!$D:$D,0))="LEAP","LEAP MONTH - counts as month "&amp;$I65&amp;", flagged for review",""),"")</f>
        <v/>
      </c>
    </row>
    <row r="66">
      <c r="A66" s="12">
        <f>A65+1</f>
        <v/>
      </c>
      <c r="B66" s="0">
        <f>TEXT(A66,"ddd")</f>
        <v/>
      </c>
      <c r="C66" s="0">
        <f>IFERROR(INDEX(lunar_ref!$B:$B,MATCH($A66,lunar_ref!$A:$A,0)),"")</f>
        <v/>
      </c>
      <c r="D66" s="0">
        <f>IFERROR(INDEX(lunar_ref!$C:$C,MATCH($A66,lunar_ref!$A:$A,0)),"")</f>
        <v/>
      </c>
      <c r="E66" s="0">
        <f>_xlfn.XLOOKUP($D66,lookup!$A:$A,lookup!$B:$B)</f>
        <v/>
      </c>
      <c r="F66" s="0">
        <f>IF($E66=1,"New",IF($E66=15,"Full",""))</f>
        <v/>
      </c>
      <c r="H66" s="0">
        <f>IF($E66="","",IF(OR($E66=8,$E66=14,$E66=15,$E66=23,$E67=1,$E68=1),"Fast day",""))</f>
        <v/>
      </c>
      <c r="I66" s="0">
        <f>IFERROR(INDEX(lookup!$E:$E,MATCH($C66,lookup!$D:$D,0)),"")</f>
        <v/>
      </c>
      <c r="J66" s="0">
        <f>IF($I66="","",IF(OR($I66=1,$I66=5,$I66=9),IF($K66="","Long fast month","Long fast month (LEAP)"),""))</f>
        <v/>
      </c>
      <c r="K66" s="0">
        <f>IFERROR(IF(INDEX(lookup!$G:$G,MATCH($C66,lookup!$D:$D,0))="LEAP","LEAP MONTH - counts as month "&amp;$I66&amp;", flagged for review",""),"")</f>
        <v/>
      </c>
    </row>
    <row r="67">
      <c r="A67" s="12">
        <f>A66+1</f>
        <v/>
      </c>
      <c r="B67" s="0">
        <f>TEXT(A67,"ddd")</f>
        <v/>
      </c>
      <c r="C67" s="0">
        <f>IFERROR(INDEX(lunar_ref!$B:$B,MATCH($A67,lunar_ref!$A:$A,0)),"")</f>
        <v/>
      </c>
      <c r="D67" s="0">
        <f>IFERROR(INDEX(lunar_ref!$C:$C,MATCH($A67,lunar_ref!$A:$A,0)),"")</f>
        <v/>
      </c>
      <c r="E67" s="0">
        <f>_xlfn.XLOOKUP($D67,lookup!$A:$A,lookup!$B:$B)</f>
        <v/>
      </c>
      <c r="F67" s="0">
        <f>IF($E67=1,"New",IF($E67=15,"Full",""))</f>
        <v/>
      </c>
      <c r="H67" s="0">
        <f>IF($E67="","",IF(OR($E67=8,$E67=14,$E67=15,$E67=23,$E68=1,$E69=1),"Fast day",""))</f>
        <v/>
      </c>
      <c r="I67" s="0">
        <f>IFERROR(INDEX(lookup!$E:$E,MATCH($C67,lookup!$D:$D,0)),"")</f>
        <v/>
      </c>
      <c r="J67" s="0">
        <f>IF($I67="","",IF(OR($I67=1,$I67=5,$I67=9),IF($K67="","Long fast month","Long fast month (LEAP)"),""))</f>
        <v/>
      </c>
      <c r="K67" s="0">
        <f>IFERROR(IF(INDEX(lookup!$G:$G,MATCH($C67,lookup!$D:$D,0))="LEAP","LEAP MONTH - counts as month "&amp;$I67&amp;", flagged for review",""),"")</f>
        <v/>
      </c>
    </row>
    <row r="68">
      <c r="A68" s="12">
        <f>A67+1</f>
        <v/>
      </c>
      <c r="B68" s="0">
        <f>TEXT(A68,"ddd")</f>
        <v/>
      </c>
      <c r="C68" s="0">
        <f>IFERROR(INDEX(lunar_ref!$B:$B,MATCH($A68,lunar_ref!$A:$A,0)),"")</f>
        <v/>
      </c>
      <c r="D68" s="0">
        <f>IFERROR(INDEX(lunar_ref!$C:$C,MATCH($A68,lunar_ref!$A:$A,0)),"")</f>
        <v/>
      </c>
      <c r="E68" s="0">
        <f>_xlfn.XLOOKUP($D68,lookup!$A:$A,lookup!$B:$B)</f>
        <v/>
      </c>
      <c r="F68" s="0">
        <f>IF($E68=1,"New",IF($E68=15,"Full",""))</f>
        <v/>
      </c>
      <c r="H68" s="0">
        <f>IF($E68="","",IF(OR($E68=8,$E68=14,$E68=15,$E68=23,$E69=1,$E70=1),"Fast day",""))</f>
        <v/>
      </c>
      <c r="I68" s="0">
        <f>IFERROR(INDEX(lookup!$E:$E,MATCH($C68,lookup!$D:$D,0)),"")</f>
        <v/>
      </c>
      <c r="J68" s="0">
        <f>IF($I68="","",IF(OR($I68=1,$I68=5,$I68=9),IF($K68="","Long fast month","Long fast month (LEAP)"),""))</f>
        <v/>
      </c>
      <c r="K68" s="0">
        <f>IFERROR(IF(INDEX(lookup!$G:$G,MATCH($C68,lookup!$D:$D,0))="LEAP","LEAP MONTH - counts as month "&amp;$I68&amp;", flagged for review",""),"")</f>
        <v/>
      </c>
    </row>
    <row r="69">
      <c r="A69" s="12">
        <f>A68+1</f>
        <v/>
      </c>
      <c r="B69" s="0">
        <f>TEXT(A69,"ddd")</f>
        <v/>
      </c>
      <c r="C69" s="0">
        <f>IFERROR(INDEX(lunar_ref!$B:$B,MATCH($A69,lunar_ref!$A:$A,0)),"")</f>
        <v/>
      </c>
      <c r="D69" s="0">
        <f>IFERROR(INDEX(lunar_ref!$C:$C,MATCH($A69,lunar_ref!$A:$A,0)),"")</f>
        <v/>
      </c>
      <c r="E69" s="0">
        <f>_xlfn.XLOOKUP($D69,lookup!$A:$A,lookup!$B:$B)</f>
        <v/>
      </c>
      <c r="F69" s="0">
        <f>IF($E69=1,"New",IF($E69=15,"Full",""))</f>
        <v/>
      </c>
      <c r="H69" s="0">
        <f>IF($E69="","",IF(OR($E69=8,$E69=14,$E69=15,$E69=23,$E70=1,$E71=1),"Fast day",""))</f>
        <v/>
      </c>
      <c r="I69" s="0">
        <f>IFERROR(INDEX(lookup!$E:$E,MATCH($C69,lookup!$D:$D,0)),"")</f>
        <v/>
      </c>
      <c r="J69" s="0">
        <f>IF($I69="","",IF(OR($I69=1,$I69=5,$I69=9),IF($K69="","Long fast month","Long fast month (LEAP)"),""))</f>
        <v/>
      </c>
      <c r="K69" s="0">
        <f>IFERROR(IF(INDEX(lookup!$G:$G,MATCH($C69,lookup!$D:$D,0))="LEAP","LEAP MONTH - counts as month "&amp;$I69&amp;", flagged for review",""),"")</f>
        <v/>
      </c>
    </row>
    <row r="70">
      <c r="A70" s="12">
        <f>A69+1</f>
        <v/>
      </c>
      <c r="B70" s="0">
        <f>TEXT(A70,"ddd")</f>
        <v/>
      </c>
      <c r="C70" s="0">
        <f>IFERROR(INDEX(lunar_ref!$B:$B,MATCH($A70,lunar_ref!$A:$A,0)),"")</f>
        <v/>
      </c>
      <c r="D70" s="0">
        <f>IFERROR(INDEX(lunar_ref!$C:$C,MATCH($A70,lunar_ref!$A:$A,0)),"")</f>
        <v/>
      </c>
      <c r="E70" s="0">
        <f>_xlfn.XLOOKUP($D70,lookup!$A:$A,lookup!$B:$B)</f>
        <v/>
      </c>
      <c r="F70" s="0">
        <f>IF($E70=1,"New",IF($E70=15,"Full",""))</f>
        <v/>
      </c>
      <c r="H70" s="0">
        <f>IF($E70="","",IF(OR($E70=8,$E70=14,$E70=15,$E70=23,$E71=1,$E72=1),"Fast day",""))</f>
        <v/>
      </c>
      <c r="I70" s="0">
        <f>IFERROR(INDEX(lookup!$E:$E,MATCH($C70,lookup!$D:$D,0)),"")</f>
        <v/>
      </c>
      <c r="J70" s="0">
        <f>IF($I70="","",IF(OR($I70=1,$I70=5,$I70=9),IF($K70="","Long fast month","Long fast month (LEAP)"),""))</f>
        <v/>
      </c>
      <c r="K70" s="0">
        <f>IFERROR(IF(INDEX(lookup!$G:$G,MATCH($C70,lookup!$D:$D,0))="LEAP","LEAP MONTH - counts as month "&amp;$I70&amp;", flagged for review",""),"")</f>
        <v/>
      </c>
    </row>
    <row r="71">
      <c r="A71" s="12">
        <f>A70+1</f>
        <v/>
      </c>
      <c r="B71" s="0">
        <f>TEXT(A71,"ddd")</f>
        <v/>
      </c>
      <c r="C71" s="0">
        <f>IFERROR(INDEX(lunar_ref!$B:$B,MATCH($A71,lunar_ref!$A:$A,0)),"")</f>
        <v/>
      </c>
      <c r="D71" s="0">
        <f>IFERROR(INDEX(lunar_ref!$C:$C,MATCH($A71,lunar_ref!$A:$A,0)),"")</f>
        <v/>
      </c>
      <c r="E71" s="0">
        <f>_xlfn.XLOOKUP($D71,lookup!$A:$A,lookup!$B:$B)</f>
        <v/>
      </c>
      <c r="F71" s="0">
        <f>IF($E71=1,"New",IF($E71=15,"Full",""))</f>
        <v/>
      </c>
      <c r="H71" s="0">
        <f>IF($E71="","",IF(OR($E71=8,$E71=14,$E71=15,$E71=23,$E72=1,$E73=1),"Fast day",""))</f>
        <v/>
      </c>
      <c r="I71" s="0">
        <f>IFERROR(INDEX(lookup!$E:$E,MATCH($C71,lookup!$D:$D,0)),"")</f>
        <v/>
      </c>
      <c r="J71" s="0">
        <f>IF($I71="","",IF(OR($I71=1,$I71=5,$I71=9),IF($K71="","Long fast month","Long fast month (LEAP)"),""))</f>
        <v/>
      </c>
      <c r="K71" s="0">
        <f>IFERROR(IF(INDEX(lookup!$G:$G,MATCH($C71,lookup!$D:$D,0))="LEAP","LEAP MONTH - counts as month "&amp;$I71&amp;", flagged for review",""),"")</f>
        <v/>
      </c>
    </row>
    <row r="72">
      <c r="A72" s="12">
        <f>A71+1</f>
        <v/>
      </c>
      <c r="B72" s="0">
        <f>TEXT(A72,"ddd")</f>
        <v/>
      </c>
      <c r="C72" s="0">
        <f>IFERROR(INDEX(lunar_ref!$B:$B,MATCH($A72,lunar_ref!$A:$A,0)),"")</f>
        <v/>
      </c>
      <c r="D72" s="0">
        <f>IFERROR(INDEX(lunar_ref!$C:$C,MATCH($A72,lunar_ref!$A:$A,0)),"")</f>
        <v/>
      </c>
      <c r="E72" s="0">
        <f>_xlfn.XLOOKUP($D72,lookup!$A:$A,lookup!$B:$B)</f>
        <v/>
      </c>
      <c r="F72" s="0">
        <f>IF($E72=1,"New",IF($E72=15,"Full",""))</f>
        <v/>
      </c>
      <c r="H72" s="0">
        <f>IF($E72="","",IF(OR($E72=8,$E72=14,$E72=15,$E72=23,$E73=1,$E74=1),"Fast day",""))</f>
        <v/>
      </c>
      <c r="I72" s="0">
        <f>IFERROR(INDEX(lookup!$E:$E,MATCH($C72,lookup!$D:$D,0)),"")</f>
        <v/>
      </c>
      <c r="J72" s="0">
        <f>IF($I72="","",IF(OR($I72=1,$I72=5,$I72=9),IF($K72="","Long fast month","Long fast month (LEAP)"),""))</f>
        <v/>
      </c>
      <c r="K72" s="0">
        <f>IFERROR(IF(INDEX(lookup!$G:$G,MATCH($C72,lookup!$D:$D,0))="LEAP","LEAP MONTH - counts as month "&amp;$I72&amp;", flagged for review",""),"")</f>
        <v/>
      </c>
    </row>
    <row r="73">
      <c r="A73" s="12">
        <f>A72+1</f>
        <v/>
      </c>
      <c r="B73" s="0">
        <f>TEXT(A73,"ddd")</f>
        <v/>
      </c>
      <c r="C73" s="0">
        <f>IFERROR(INDEX(lunar_ref!$B:$B,MATCH($A73,lunar_ref!$A:$A,0)),"")</f>
        <v/>
      </c>
      <c r="D73" s="0">
        <f>IFERROR(INDEX(lunar_ref!$C:$C,MATCH($A73,lunar_ref!$A:$A,0)),"")</f>
        <v/>
      </c>
      <c r="E73" s="0">
        <f>_xlfn.XLOOKUP($D73,lookup!$A:$A,lookup!$B:$B)</f>
        <v/>
      </c>
      <c r="F73" s="0">
        <f>IF($E73=1,"New",IF($E73=15,"Full",""))</f>
        <v/>
      </c>
      <c r="H73" s="0">
        <f>IF($E73="","",IF(OR($E73=8,$E73=14,$E73=15,$E73=23,$E74=1,$E75=1),"Fast day",""))</f>
        <v/>
      </c>
      <c r="I73" s="0">
        <f>IFERROR(INDEX(lookup!$E:$E,MATCH($C73,lookup!$D:$D,0)),"")</f>
        <v/>
      </c>
      <c r="J73" s="0">
        <f>IF($I73="","",IF(OR($I73=1,$I73=5,$I73=9),IF($K73="","Long fast month","Long fast month (LEAP)"),""))</f>
        <v/>
      </c>
      <c r="K73" s="0">
        <f>IFERROR(IF(INDEX(lookup!$G:$G,MATCH($C73,lookup!$D:$D,0))="LEAP","LEAP MONTH - counts as month "&amp;$I73&amp;", flagged for review",""),"")</f>
        <v/>
      </c>
    </row>
    <row r="74">
      <c r="A74" s="12">
        <f>A73+1</f>
        <v/>
      </c>
      <c r="B74" s="0">
        <f>TEXT(A74,"ddd")</f>
        <v/>
      </c>
      <c r="C74" s="0">
        <f>IFERROR(INDEX(lunar_ref!$B:$B,MATCH($A74,lunar_ref!$A:$A,0)),"")</f>
        <v/>
      </c>
      <c r="D74" s="0">
        <f>IFERROR(INDEX(lunar_ref!$C:$C,MATCH($A74,lunar_ref!$A:$A,0)),"")</f>
        <v/>
      </c>
      <c r="E74" s="0">
        <f>_xlfn.XLOOKUP($D74,lookup!$A:$A,lookup!$B:$B)</f>
        <v/>
      </c>
      <c r="F74" s="0">
        <f>IF($E74=1,"New",IF($E74=15,"Full",""))</f>
        <v/>
      </c>
      <c r="H74" s="0">
        <f>IF($E74="","",IF(OR($E74=8,$E74=14,$E74=15,$E74=23,$E75=1,$E76=1),"Fast day",""))</f>
        <v/>
      </c>
      <c r="I74" s="0">
        <f>IFERROR(INDEX(lookup!$E:$E,MATCH($C74,lookup!$D:$D,0)),"")</f>
        <v/>
      </c>
      <c r="J74" s="0">
        <f>IF($I74="","",IF(OR($I74=1,$I74=5,$I74=9),IF($K74="","Long fast month","Long fast month (LEAP)"),""))</f>
        <v/>
      </c>
      <c r="K74" s="0">
        <f>IFERROR(IF(INDEX(lookup!$G:$G,MATCH($C74,lookup!$D:$D,0))="LEAP","LEAP MONTH - counts as month "&amp;$I74&amp;", flagged for review",""),"")</f>
        <v/>
      </c>
    </row>
    <row r="75">
      <c r="A75" s="12">
        <f>A74+1</f>
        <v/>
      </c>
      <c r="B75" s="0">
        <f>TEXT(A75,"ddd")</f>
        <v/>
      </c>
      <c r="C75" s="0">
        <f>IFERROR(INDEX(lunar_ref!$B:$B,MATCH($A75,lunar_ref!$A:$A,0)),"")</f>
        <v/>
      </c>
      <c r="D75" s="0">
        <f>IFERROR(INDEX(lunar_ref!$C:$C,MATCH($A75,lunar_ref!$A:$A,0)),"")</f>
        <v/>
      </c>
      <c r="E75" s="0">
        <f>_xlfn.XLOOKUP($D75,lookup!$A:$A,lookup!$B:$B)</f>
        <v/>
      </c>
      <c r="F75" s="0">
        <f>IF($E75=1,"New",IF($E75=15,"Full",""))</f>
        <v/>
      </c>
      <c r="H75" s="0">
        <f>IF($E75="","",IF(OR($E75=8,$E75=14,$E75=15,$E75=23,$E76=1,$E77=1),"Fast day",""))</f>
        <v/>
      </c>
      <c r="I75" s="0">
        <f>IFERROR(INDEX(lookup!$E:$E,MATCH($C75,lookup!$D:$D,0)),"")</f>
        <v/>
      </c>
      <c r="J75" s="0">
        <f>IF($I75="","",IF(OR($I75=1,$I75=5,$I75=9),IF($K75="","Long fast month","Long fast month (LEAP)"),""))</f>
        <v/>
      </c>
      <c r="K75" s="0">
        <f>IFERROR(IF(INDEX(lookup!$G:$G,MATCH($C75,lookup!$D:$D,0))="LEAP","LEAP MONTH - counts as month "&amp;$I75&amp;", flagged for review",""),"")</f>
        <v/>
      </c>
    </row>
    <row r="76">
      <c r="A76" s="12">
        <f>A75+1</f>
        <v/>
      </c>
      <c r="B76" s="0">
        <f>TEXT(A76,"ddd")</f>
        <v/>
      </c>
      <c r="C76" s="0">
        <f>IFERROR(INDEX(lunar_ref!$B:$B,MATCH($A76,lunar_ref!$A:$A,0)),"")</f>
        <v/>
      </c>
      <c r="D76" s="0">
        <f>IFERROR(INDEX(lunar_ref!$C:$C,MATCH($A76,lunar_ref!$A:$A,0)),"")</f>
        <v/>
      </c>
      <c r="E76" s="0">
        <f>_xlfn.XLOOKUP($D76,lookup!$A:$A,lookup!$B:$B)</f>
        <v/>
      </c>
      <c r="F76" s="0">
        <f>IF($E76=1,"New",IF($E76=15,"Full",""))</f>
        <v/>
      </c>
      <c r="H76" s="0">
        <f>IF($E76="","",IF(OR($E76=8,$E76=14,$E76=15,$E76=23,$E77=1,$E78=1),"Fast day",""))</f>
        <v/>
      </c>
      <c r="I76" s="0">
        <f>IFERROR(INDEX(lookup!$E:$E,MATCH($C76,lookup!$D:$D,0)),"")</f>
        <v/>
      </c>
      <c r="J76" s="0">
        <f>IF($I76="","",IF(OR($I76=1,$I76=5,$I76=9),IF($K76="","Long fast month","Long fast month (LEAP)"),""))</f>
        <v/>
      </c>
      <c r="K76" s="0">
        <f>IFERROR(IF(INDEX(lookup!$G:$G,MATCH($C76,lookup!$D:$D,0))="LEAP","LEAP MONTH - counts as month "&amp;$I76&amp;", flagged for review",""),"")</f>
        <v/>
      </c>
    </row>
    <row r="77">
      <c r="A77" s="12">
        <f>A76+1</f>
        <v/>
      </c>
      <c r="B77" s="0">
        <f>TEXT(A77,"ddd")</f>
        <v/>
      </c>
      <c r="C77" s="0">
        <f>IFERROR(INDEX(lunar_ref!$B:$B,MATCH($A77,lunar_ref!$A:$A,0)),"")</f>
        <v/>
      </c>
      <c r="D77" s="0">
        <f>IFERROR(INDEX(lunar_ref!$C:$C,MATCH($A77,lunar_ref!$A:$A,0)),"")</f>
        <v/>
      </c>
      <c r="E77" s="0">
        <f>_xlfn.XLOOKUP($D77,lookup!$A:$A,lookup!$B:$B)</f>
        <v/>
      </c>
      <c r="F77" s="0">
        <f>IF($E77=1,"New",IF($E77=15,"Full",""))</f>
        <v/>
      </c>
      <c r="H77" s="0">
        <f>IF($E77="","",IF(OR($E77=8,$E77=14,$E77=15,$E77=23,$E78=1,$E79=1),"Fast day",""))</f>
        <v/>
      </c>
      <c r="I77" s="0">
        <f>IFERROR(INDEX(lookup!$E:$E,MATCH($C77,lookup!$D:$D,0)),"")</f>
        <v/>
      </c>
      <c r="J77" s="0">
        <f>IF($I77="","",IF(OR($I77=1,$I77=5,$I77=9),IF($K77="","Long fast month","Long fast month (LEAP)"),""))</f>
        <v/>
      </c>
      <c r="K77" s="0">
        <f>IFERROR(IF(INDEX(lookup!$G:$G,MATCH($C77,lookup!$D:$D,0))="LEAP","LEAP MONTH - counts as month "&amp;$I77&amp;", flagged for review",""),"")</f>
        <v/>
      </c>
    </row>
    <row r="78">
      <c r="A78" s="12">
        <f>A77+1</f>
        <v/>
      </c>
      <c r="B78" s="0">
        <f>TEXT(A78,"ddd")</f>
        <v/>
      </c>
      <c r="C78" s="0">
        <f>IFERROR(INDEX(lunar_ref!$B:$B,MATCH($A78,lunar_ref!$A:$A,0)),"")</f>
        <v/>
      </c>
      <c r="D78" s="0">
        <f>IFERROR(INDEX(lunar_ref!$C:$C,MATCH($A78,lunar_ref!$A:$A,0)),"")</f>
        <v/>
      </c>
      <c r="E78" s="0">
        <f>_xlfn.XLOOKUP($D78,lookup!$A:$A,lookup!$B:$B)</f>
        <v/>
      </c>
      <c r="F78" s="0">
        <f>IF($E78=1,"New",IF($E78=15,"Full",""))</f>
        <v/>
      </c>
      <c r="H78" s="0">
        <f>IF($E78="","",IF(OR($E78=8,$E78=14,$E78=15,$E78=23,$E79=1,$E80=1),"Fast day",""))</f>
        <v/>
      </c>
      <c r="I78" s="0">
        <f>IFERROR(INDEX(lookup!$E:$E,MATCH($C78,lookup!$D:$D,0)),"")</f>
        <v/>
      </c>
      <c r="J78" s="0">
        <f>IF($I78="","",IF(OR($I78=1,$I78=5,$I78=9),IF($K78="","Long fast month","Long fast month (LEAP)"),""))</f>
        <v/>
      </c>
      <c r="K78" s="0">
        <f>IFERROR(IF(INDEX(lookup!$G:$G,MATCH($C78,lookup!$D:$D,0))="LEAP","LEAP MONTH - counts as month "&amp;$I78&amp;", flagged for review",""),"")</f>
        <v/>
      </c>
    </row>
    <row r="79">
      <c r="A79" s="12">
        <f>A78+1</f>
        <v/>
      </c>
      <c r="B79" s="0">
        <f>TEXT(A79,"ddd")</f>
        <v/>
      </c>
      <c r="C79" s="0">
        <f>IFERROR(INDEX(lunar_ref!$B:$B,MATCH($A79,lunar_ref!$A:$A,0)),"")</f>
        <v/>
      </c>
      <c r="D79" s="0">
        <f>IFERROR(INDEX(lunar_ref!$C:$C,MATCH($A79,lunar_ref!$A:$A,0)),"")</f>
        <v/>
      </c>
      <c r="E79" s="0">
        <f>_xlfn.XLOOKUP($D79,lookup!$A:$A,lookup!$B:$B)</f>
        <v/>
      </c>
      <c r="F79" s="0">
        <f>IF($E79=1,"New",IF($E79=15,"Full",""))</f>
        <v/>
      </c>
      <c r="H79" s="0">
        <f>IF($E79="","",IF(OR($E79=8,$E79=14,$E79=15,$E79=23,$E80=1,$E81=1),"Fast day",""))</f>
        <v/>
      </c>
      <c r="I79" s="0">
        <f>IFERROR(INDEX(lookup!$E:$E,MATCH($C79,lookup!$D:$D,0)),"")</f>
        <v/>
      </c>
      <c r="J79" s="0">
        <f>IF($I79="","",IF(OR($I79=1,$I79=5,$I79=9),IF($K79="","Long fast month","Long fast month (LEAP)"),""))</f>
        <v/>
      </c>
      <c r="K79" s="0">
        <f>IFERROR(IF(INDEX(lookup!$G:$G,MATCH($C79,lookup!$D:$D,0))="LEAP","LEAP MONTH - counts as month "&amp;$I79&amp;", flagged for review",""),"")</f>
        <v/>
      </c>
    </row>
    <row r="80">
      <c r="A80" s="12">
        <f>A79+1</f>
        <v/>
      </c>
      <c r="B80" s="0">
        <f>TEXT(A80,"ddd")</f>
        <v/>
      </c>
      <c r="C80" s="0">
        <f>IFERROR(INDEX(lunar_ref!$B:$B,MATCH($A80,lunar_ref!$A:$A,0)),"")</f>
        <v/>
      </c>
      <c r="D80" s="0">
        <f>IFERROR(INDEX(lunar_ref!$C:$C,MATCH($A80,lunar_ref!$A:$A,0)),"")</f>
        <v/>
      </c>
      <c r="E80" s="0">
        <f>_xlfn.XLOOKUP($D80,lookup!$A:$A,lookup!$B:$B)</f>
        <v/>
      </c>
      <c r="F80" s="0">
        <f>IF($E80=1,"New",IF($E80=15,"Full",""))</f>
        <v/>
      </c>
      <c r="H80" s="0">
        <f>IF($E80="","",IF(OR($E80=8,$E80=14,$E80=15,$E80=23,$E81=1,$E82=1),"Fast day",""))</f>
        <v/>
      </c>
      <c r="I80" s="0">
        <f>IFERROR(INDEX(lookup!$E:$E,MATCH($C80,lookup!$D:$D,0)),"")</f>
        <v/>
      </c>
      <c r="J80" s="0">
        <f>IF($I80="","",IF(OR($I80=1,$I80=5,$I80=9),IF($K80="","Long fast month","Long fast month (LEAP)"),""))</f>
        <v/>
      </c>
      <c r="K80" s="0">
        <f>IFERROR(IF(INDEX(lookup!$G:$G,MATCH($C80,lookup!$D:$D,0))="LEAP","LEAP MONTH - counts as month "&amp;$I80&amp;", flagged for review",""),"")</f>
        <v/>
      </c>
    </row>
    <row r="81">
      <c r="A81" s="12">
        <f>A80+1</f>
        <v/>
      </c>
      <c r="B81" s="0">
        <f>TEXT(A81,"ddd")</f>
        <v/>
      </c>
      <c r="C81" s="0">
        <f>IFERROR(INDEX(lunar_ref!$B:$B,MATCH($A81,lunar_ref!$A:$A,0)),"")</f>
        <v/>
      </c>
      <c r="D81" s="0">
        <f>IFERROR(INDEX(lunar_ref!$C:$C,MATCH($A81,lunar_ref!$A:$A,0)),"")</f>
        <v/>
      </c>
      <c r="E81" s="0">
        <f>_xlfn.XLOOKUP($D81,lookup!$A:$A,lookup!$B:$B)</f>
        <v/>
      </c>
      <c r="F81" s="0">
        <f>IF($E81=1,"New",IF($E81=15,"Full",""))</f>
        <v/>
      </c>
      <c r="H81" s="0">
        <f>IF($E81="","",IF(OR($E81=8,$E81=14,$E81=15,$E81=23,$E82=1,$E83=1),"Fast day",""))</f>
        <v/>
      </c>
      <c r="I81" s="0">
        <f>IFERROR(INDEX(lookup!$E:$E,MATCH($C81,lookup!$D:$D,0)),"")</f>
        <v/>
      </c>
      <c r="J81" s="0">
        <f>IF($I81="","",IF(OR($I81=1,$I81=5,$I81=9),IF($K81="","Long fast month","Long fast month (LEAP)"),""))</f>
        <v/>
      </c>
      <c r="K81" s="0">
        <f>IFERROR(IF(INDEX(lookup!$G:$G,MATCH($C81,lookup!$D:$D,0))="LEAP","LEAP MONTH - counts as month "&amp;$I81&amp;", flagged for review",""),"")</f>
        <v/>
      </c>
    </row>
    <row r="82">
      <c r="A82" s="12">
        <f>A81+1</f>
        <v/>
      </c>
      <c r="B82" s="0">
        <f>TEXT(A82,"ddd")</f>
        <v/>
      </c>
      <c r="C82" s="0">
        <f>IFERROR(INDEX(lunar_ref!$B:$B,MATCH($A82,lunar_ref!$A:$A,0)),"")</f>
        <v/>
      </c>
      <c r="D82" s="0">
        <f>IFERROR(INDEX(lunar_ref!$C:$C,MATCH($A82,lunar_ref!$A:$A,0)),"")</f>
        <v/>
      </c>
      <c r="E82" s="0">
        <f>_xlfn.XLOOKUP($D82,lookup!$A:$A,lookup!$B:$B)</f>
        <v/>
      </c>
      <c r="F82" s="0">
        <f>IF($E82=1,"New",IF($E82=15,"Full",""))</f>
        <v/>
      </c>
      <c r="H82" s="0">
        <f>IF($E82="","",IF(OR($E82=8,$E82=14,$E82=15,$E82=23,$E83=1,$E84=1),"Fast day",""))</f>
        <v/>
      </c>
      <c r="I82" s="0">
        <f>IFERROR(INDEX(lookup!$E:$E,MATCH($C82,lookup!$D:$D,0)),"")</f>
        <v/>
      </c>
      <c r="J82" s="0">
        <f>IF($I82="","",IF(OR($I82=1,$I82=5,$I82=9),IF($K82="","Long fast month","Long fast month (LEAP)"),""))</f>
        <v/>
      </c>
      <c r="K82" s="0">
        <f>IFERROR(IF(INDEX(lookup!$G:$G,MATCH($C82,lookup!$D:$D,0))="LEAP","LEAP MONTH - counts as month "&amp;$I82&amp;", flagged for review",""),"")</f>
        <v/>
      </c>
    </row>
    <row r="83">
      <c r="A83" s="12">
        <f>A82+1</f>
        <v/>
      </c>
      <c r="B83" s="0">
        <f>TEXT(A83,"ddd")</f>
        <v/>
      </c>
      <c r="C83" s="0">
        <f>IFERROR(INDEX(lunar_ref!$B:$B,MATCH($A83,lunar_ref!$A:$A,0)),"")</f>
        <v/>
      </c>
      <c r="D83" s="0">
        <f>IFERROR(INDEX(lunar_ref!$C:$C,MATCH($A83,lunar_ref!$A:$A,0)),"")</f>
        <v/>
      </c>
      <c r="E83" s="0">
        <f>_xlfn.XLOOKUP($D83,lookup!$A:$A,lookup!$B:$B)</f>
        <v/>
      </c>
      <c r="F83" s="0">
        <f>IF($E83=1,"New",IF($E83=15,"Full",""))</f>
        <v/>
      </c>
      <c r="H83" s="0">
        <f>IF($E83="","",IF(OR($E83=8,$E83=14,$E83=15,$E83=23,$E84=1,$E85=1),"Fast day",""))</f>
        <v/>
      </c>
      <c r="I83" s="0">
        <f>IFERROR(INDEX(lookup!$E:$E,MATCH($C83,lookup!$D:$D,0)),"")</f>
        <v/>
      </c>
      <c r="J83" s="0">
        <f>IF($I83="","",IF(OR($I83=1,$I83=5,$I83=9),IF($K83="","Long fast month","Long fast month (LEAP)"),""))</f>
        <v/>
      </c>
      <c r="K83" s="0">
        <f>IFERROR(IF(INDEX(lookup!$G:$G,MATCH($C83,lookup!$D:$D,0))="LEAP","LEAP MONTH - counts as month "&amp;$I83&amp;", flagged for review",""),"")</f>
        <v/>
      </c>
    </row>
    <row r="84">
      <c r="A84" s="12">
        <f>A83+1</f>
        <v/>
      </c>
      <c r="B84" s="0">
        <f>TEXT(A84,"ddd")</f>
        <v/>
      </c>
      <c r="C84" s="0">
        <f>IFERROR(INDEX(lunar_ref!$B:$B,MATCH($A84,lunar_ref!$A:$A,0)),"")</f>
        <v/>
      </c>
      <c r="D84" s="0">
        <f>IFERROR(INDEX(lunar_ref!$C:$C,MATCH($A84,lunar_ref!$A:$A,0)),"")</f>
        <v/>
      </c>
      <c r="E84" s="0">
        <f>_xlfn.XLOOKUP($D84,lookup!$A:$A,lookup!$B:$B)</f>
        <v/>
      </c>
      <c r="F84" s="0">
        <f>IF($E84=1,"New",IF($E84=15,"Full",""))</f>
        <v/>
      </c>
      <c r="H84" s="0">
        <f>IF($E84="","",IF(OR($E84=8,$E84=14,$E84=15,$E84=23,$E85=1,$E86=1),"Fast day",""))</f>
        <v/>
      </c>
      <c r="I84" s="0">
        <f>IFERROR(INDEX(lookup!$E:$E,MATCH($C84,lookup!$D:$D,0)),"")</f>
        <v/>
      </c>
      <c r="J84" s="0">
        <f>IF($I84="","",IF(OR($I84=1,$I84=5,$I84=9),IF($K84="","Long fast month","Long fast month (LEAP)"),""))</f>
        <v/>
      </c>
      <c r="K84" s="0">
        <f>IFERROR(IF(INDEX(lookup!$G:$G,MATCH($C84,lookup!$D:$D,0))="LEAP","LEAP MONTH - counts as month "&amp;$I84&amp;", flagged for review",""),"")</f>
        <v/>
      </c>
    </row>
    <row r="85">
      <c r="A85" s="12">
        <f>A84+1</f>
        <v/>
      </c>
      <c r="B85" s="0">
        <f>TEXT(A85,"ddd")</f>
        <v/>
      </c>
      <c r="C85" s="0">
        <f>IFERROR(INDEX(lunar_ref!$B:$B,MATCH($A85,lunar_ref!$A:$A,0)),"")</f>
        <v/>
      </c>
      <c r="D85" s="0">
        <f>IFERROR(INDEX(lunar_ref!$C:$C,MATCH($A85,lunar_ref!$A:$A,0)),"")</f>
        <v/>
      </c>
      <c r="E85" s="0">
        <f>_xlfn.XLOOKUP($D85,lookup!$A:$A,lookup!$B:$B)</f>
        <v/>
      </c>
      <c r="F85" s="0">
        <f>IF($E85=1,"New",IF($E85=15,"Full",""))</f>
        <v/>
      </c>
      <c r="H85" s="0">
        <f>IF($E85="","",IF(OR($E85=8,$E85=14,$E85=15,$E85=23,$E86=1,$E87=1),"Fast day",""))</f>
        <v/>
      </c>
      <c r="I85" s="0">
        <f>IFERROR(INDEX(lookup!$E:$E,MATCH($C85,lookup!$D:$D,0)),"")</f>
        <v/>
      </c>
      <c r="J85" s="0">
        <f>IF($I85="","",IF(OR($I85=1,$I85=5,$I85=9),IF($K85="","Long fast month","Long fast month (LEAP)"),""))</f>
        <v/>
      </c>
      <c r="K85" s="0">
        <f>IFERROR(IF(INDEX(lookup!$G:$G,MATCH($C85,lookup!$D:$D,0))="LEAP","LEAP MONTH - counts as month "&amp;$I85&amp;", flagged for review",""),"")</f>
        <v/>
      </c>
    </row>
    <row r="86">
      <c r="A86" s="12">
        <f>A85+1</f>
        <v/>
      </c>
      <c r="B86" s="0">
        <f>TEXT(A86,"ddd")</f>
        <v/>
      </c>
      <c r="C86" s="0">
        <f>IFERROR(INDEX(lunar_ref!$B:$B,MATCH($A86,lunar_ref!$A:$A,0)),"")</f>
        <v/>
      </c>
      <c r="D86" s="0">
        <f>IFERROR(INDEX(lunar_ref!$C:$C,MATCH($A86,lunar_ref!$A:$A,0)),"")</f>
        <v/>
      </c>
      <c r="E86" s="0">
        <f>_xlfn.XLOOKUP($D86,lookup!$A:$A,lookup!$B:$B)</f>
        <v/>
      </c>
      <c r="F86" s="0">
        <f>IF($E86=1,"New",IF($E86=15,"Full",""))</f>
        <v/>
      </c>
      <c r="H86" s="0">
        <f>IF($E86="","",IF(OR($E86=8,$E86=14,$E86=15,$E86=23,$E87=1,$E88=1),"Fast day",""))</f>
        <v/>
      </c>
      <c r="I86" s="0">
        <f>IFERROR(INDEX(lookup!$E:$E,MATCH($C86,lookup!$D:$D,0)),"")</f>
        <v/>
      </c>
      <c r="J86" s="0">
        <f>IF($I86="","",IF(OR($I86=1,$I86=5,$I86=9),IF($K86="","Long fast month","Long fast month (LEAP)"),""))</f>
        <v/>
      </c>
      <c r="K86" s="0">
        <f>IFERROR(IF(INDEX(lookup!$G:$G,MATCH($C86,lookup!$D:$D,0))="LEAP","LEAP MONTH - counts as month "&amp;$I86&amp;", flagged for review",""),"")</f>
        <v/>
      </c>
    </row>
    <row r="87">
      <c r="A87" s="12">
        <f>A86+1</f>
        <v/>
      </c>
      <c r="B87" s="0">
        <f>TEXT(A87,"ddd")</f>
        <v/>
      </c>
      <c r="C87" s="0">
        <f>IFERROR(INDEX(lunar_ref!$B:$B,MATCH($A87,lunar_ref!$A:$A,0)),"")</f>
        <v/>
      </c>
      <c r="D87" s="0">
        <f>IFERROR(INDEX(lunar_ref!$C:$C,MATCH($A87,lunar_ref!$A:$A,0)),"")</f>
        <v/>
      </c>
      <c r="E87" s="0">
        <f>_xlfn.XLOOKUP($D87,lookup!$A:$A,lookup!$B:$B)</f>
        <v/>
      </c>
      <c r="F87" s="0">
        <f>IF($E87=1,"New",IF($E87=15,"Full",""))</f>
        <v/>
      </c>
      <c r="H87" s="0">
        <f>IF($E87="","",IF(OR($E87=8,$E87=14,$E87=15,$E87=23,$E88=1,$E89=1),"Fast day",""))</f>
        <v/>
      </c>
      <c r="I87" s="0">
        <f>IFERROR(INDEX(lookup!$E:$E,MATCH($C87,lookup!$D:$D,0)),"")</f>
        <v/>
      </c>
      <c r="J87" s="0">
        <f>IF($I87="","",IF(OR($I87=1,$I87=5,$I87=9),IF($K87="","Long fast month","Long fast month (LEAP)"),""))</f>
        <v/>
      </c>
      <c r="K87" s="0">
        <f>IFERROR(IF(INDEX(lookup!$G:$G,MATCH($C87,lookup!$D:$D,0))="LEAP","LEAP MONTH - counts as month "&amp;$I87&amp;", flagged for review",""),"")</f>
        <v/>
      </c>
    </row>
    <row r="88">
      <c r="A88" s="12">
        <f>A87+1</f>
        <v/>
      </c>
      <c r="B88" s="0">
        <f>TEXT(A88,"ddd")</f>
        <v/>
      </c>
      <c r="C88" s="0">
        <f>IFERROR(INDEX(lunar_ref!$B:$B,MATCH($A88,lunar_ref!$A:$A,0)),"")</f>
        <v/>
      </c>
      <c r="D88" s="0">
        <f>IFERROR(INDEX(lunar_ref!$C:$C,MATCH($A88,lunar_ref!$A:$A,0)),"")</f>
        <v/>
      </c>
      <c r="E88" s="0">
        <f>_xlfn.XLOOKUP($D88,lookup!$A:$A,lookup!$B:$B)</f>
        <v/>
      </c>
      <c r="F88" s="0">
        <f>IF($E88=1,"New",IF($E88=15,"Full",""))</f>
        <v/>
      </c>
      <c r="H88" s="0">
        <f>IF($E88="","",IF(OR($E88=8,$E88=14,$E88=15,$E88=23,$E89=1,$E90=1),"Fast day",""))</f>
        <v/>
      </c>
      <c r="I88" s="0">
        <f>IFERROR(INDEX(lookup!$E:$E,MATCH($C88,lookup!$D:$D,0)),"")</f>
        <v/>
      </c>
      <c r="J88" s="0">
        <f>IF($I88="","",IF(OR($I88=1,$I88=5,$I88=9),IF($K88="","Long fast month","Long fast month (LEAP)"),""))</f>
        <v/>
      </c>
      <c r="K88" s="0">
        <f>IFERROR(IF(INDEX(lookup!$G:$G,MATCH($C88,lookup!$D:$D,0))="LEAP","LEAP MONTH - counts as month "&amp;$I88&amp;", flagged for review",""),"")</f>
        <v/>
      </c>
    </row>
    <row r="89">
      <c r="A89" s="12">
        <f>A88+1</f>
        <v/>
      </c>
      <c r="B89" s="0">
        <f>TEXT(A89,"ddd")</f>
        <v/>
      </c>
      <c r="C89" s="0">
        <f>IFERROR(INDEX(lunar_ref!$B:$B,MATCH($A89,lunar_ref!$A:$A,0)),"")</f>
        <v/>
      </c>
      <c r="D89" s="0">
        <f>IFERROR(INDEX(lunar_ref!$C:$C,MATCH($A89,lunar_ref!$A:$A,0)),"")</f>
        <v/>
      </c>
      <c r="E89" s="0">
        <f>_xlfn.XLOOKUP($D89,lookup!$A:$A,lookup!$B:$B)</f>
        <v/>
      </c>
      <c r="F89" s="0">
        <f>IF($E89=1,"New",IF($E89=15,"Full",""))</f>
        <v/>
      </c>
      <c r="H89" s="0">
        <f>IF($E89="","",IF(OR($E89=8,$E89=14,$E89=15,$E89=23,$E90=1,$E91=1),"Fast day",""))</f>
        <v/>
      </c>
      <c r="I89" s="0">
        <f>IFERROR(INDEX(lookup!$E:$E,MATCH($C89,lookup!$D:$D,0)),"")</f>
        <v/>
      </c>
      <c r="J89" s="0">
        <f>IF($I89="","",IF(OR($I89=1,$I89=5,$I89=9),IF($K89="","Long fast month","Long fast month (LEAP)"),""))</f>
        <v/>
      </c>
      <c r="K89" s="0">
        <f>IFERROR(IF(INDEX(lookup!$G:$G,MATCH($C89,lookup!$D:$D,0))="LEAP","LEAP MONTH - counts as month "&amp;$I89&amp;", flagged for review",""),"")</f>
        <v/>
      </c>
    </row>
    <row r="90">
      <c r="A90" s="12">
        <f>A89+1</f>
        <v/>
      </c>
      <c r="B90" s="0">
        <f>TEXT(A90,"ddd")</f>
        <v/>
      </c>
      <c r="C90" s="0">
        <f>IFERROR(INDEX(lunar_ref!$B:$B,MATCH($A90,lunar_ref!$A:$A,0)),"")</f>
        <v/>
      </c>
      <c r="D90" s="0">
        <f>IFERROR(INDEX(lunar_ref!$C:$C,MATCH($A90,lunar_ref!$A:$A,0)),"")</f>
        <v/>
      </c>
      <c r="E90" s="0">
        <f>_xlfn.XLOOKUP($D90,lookup!$A:$A,lookup!$B:$B)</f>
        <v/>
      </c>
      <c r="F90" s="0">
        <f>IF($E90=1,"New",IF($E90=15,"Full",""))</f>
        <v/>
      </c>
      <c r="H90" s="0">
        <f>IF($E90="","",IF(OR($E90=8,$E90=14,$E90=15,$E90=23,$E91=1,$E92=1),"Fast day",""))</f>
        <v/>
      </c>
      <c r="I90" s="0">
        <f>IFERROR(INDEX(lookup!$E:$E,MATCH($C90,lookup!$D:$D,0)),"")</f>
        <v/>
      </c>
      <c r="J90" s="0">
        <f>IF($I90="","",IF(OR($I90=1,$I90=5,$I90=9),IF($K90="","Long fast month","Long fast month (LEAP)"),""))</f>
        <v/>
      </c>
      <c r="K90" s="0">
        <f>IFERROR(IF(INDEX(lookup!$G:$G,MATCH($C90,lookup!$D:$D,0))="LEAP","LEAP MONTH - counts as month "&amp;$I90&amp;", flagged for review",""),"")</f>
        <v/>
      </c>
    </row>
    <row r="91">
      <c r="A91" s="12">
        <f>A90+1</f>
        <v/>
      </c>
      <c r="B91" s="0">
        <f>TEXT(A91,"ddd")</f>
        <v/>
      </c>
      <c r="C91" s="0">
        <f>IFERROR(INDEX(lunar_ref!$B:$B,MATCH($A91,lunar_ref!$A:$A,0)),"")</f>
        <v/>
      </c>
      <c r="D91" s="0">
        <f>IFERROR(INDEX(lunar_ref!$C:$C,MATCH($A91,lunar_ref!$A:$A,0)),"")</f>
        <v/>
      </c>
      <c r="E91" s="0">
        <f>_xlfn.XLOOKUP($D91,lookup!$A:$A,lookup!$B:$B)</f>
        <v/>
      </c>
      <c r="F91" s="0">
        <f>IF($E91=1,"New",IF($E91=15,"Full",""))</f>
        <v/>
      </c>
      <c r="H91" s="0">
        <f>IF($E91="","",IF(OR($E91=8,$E91=14,$E91=15,$E91=23,$E92=1,$E93=1),"Fast day",""))</f>
        <v/>
      </c>
      <c r="I91" s="0">
        <f>IFERROR(INDEX(lookup!$E:$E,MATCH($C91,lookup!$D:$D,0)),"")</f>
        <v/>
      </c>
      <c r="J91" s="0">
        <f>IF($I91="","",IF(OR($I91=1,$I91=5,$I91=9),IF($K91="","Long fast month","Long fast month (LEAP)"),""))</f>
        <v/>
      </c>
      <c r="K91" s="0">
        <f>IFERROR(IF(INDEX(lookup!$G:$G,MATCH($C91,lookup!$D:$D,0))="LEAP","LEAP MONTH - counts as month "&amp;$I91&amp;", flagged for review",""),"")</f>
        <v/>
      </c>
    </row>
    <row r="92">
      <c r="A92" s="12">
        <f>A91+1</f>
        <v/>
      </c>
      <c r="B92" s="0">
        <f>TEXT(A92,"ddd")</f>
        <v/>
      </c>
      <c r="C92" s="0">
        <f>IFERROR(INDEX(lunar_ref!$B:$B,MATCH($A92,lunar_ref!$A:$A,0)),"")</f>
        <v/>
      </c>
      <c r="D92" s="0">
        <f>IFERROR(INDEX(lunar_ref!$C:$C,MATCH($A92,lunar_ref!$A:$A,0)),"")</f>
        <v/>
      </c>
      <c r="E92" s="0">
        <f>_xlfn.XLOOKUP($D92,lookup!$A:$A,lookup!$B:$B)</f>
        <v/>
      </c>
      <c r="F92" s="0">
        <f>IF($E92=1,"New",IF($E92=15,"Full",""))</f>
        <v/>
      </c>
      <c r="H92" s="0">
        <f>IF($E92="","",IF(OR($E92=8,$E92=14,$E92=15,$E92=23,$E93=1,$E94=1),"Fast day",""))</f>
        <v/>
      </c>
      <c r="I92" s="0">
        <f>IFERROR(INDEX(lookup!$E:$E,MATCH($C92,lookup!$D:$D,0)),"")</f>
        <v/>
      </c>
      <c r="J92" s="0">
        <f>IF($I92="","",IF(OR($I92=1,$I92=5,$I92=9),IF($K92="","Long fast month","Long fast month (LEAP)"),""))</f>
        <v/>
      </c>
      <c r="K92" s="0">
        <f>IFERROR(IF(INDEX(lookup!$G:$G,MATCH($C92,lookup!$D:$D,0))="LEAP","LEAP MONTH - counts as month "&amp;$I92&amp;", flagged for review",""),"")</f>
        <v/>
      </c>
    </row>
    <row r="93">
      <c r="A93" s="12">
        <f>A92+1</f>
        <v/>
      </c>
      <c r="B93" s="0">
        <f>TEXT(A93,"ddd")</f>
        <v/>
      </c>
      <c r="C93" s="0">
        <f>IFERROR(INDEX(lunar_ref!$B:$B,MATCH($A93,lunar_ref!$A:$A,0)),"")</f>
        <v/>
      </c>
      <c r="D93" s="0">
        <f>IFERROR(INDEX(lunar_ref!$C:$C,MATCH($A93,lunar_ref!$A:$A,0)),"")</f>
        <v/>
      </c>
      <c r="E93" s="0">
        <f>_xlfn.XLOOKUP($D93,lookup!$A:$A,lookup!$B:$B)</f>
        <v/>
      </c>
      <c r="F93" s="0">
        <f>IF($E93=1,"New",IF($E93=15,"Full",""))</f>
        <v/>
      </c>
      <c r="H93" s="0">
        <f>IF($E93="","",IF(OR($E93=8,$E93=14,$E93=15,$E93=23,$E94=1,$E95=1),"Fast day",""))</f>
        <v/>
      </c>
      <c r="I93" s="0">
        <f>IFERROR(INDEX(lookup!$E:$E,MATCH($C93,lookup!$D:$D,0)),"")</f>
        <v/>
      </c>
      <c r="J93" s="0">
        <f>IF($I93="","",IF(OR($I93=1,$I93=5,$I93=9),IF($K93="","Long fast month","Long fast month (LEAP)"),""))</f>
        <v/>
      </c>
      <c r="K93" s="0">
        <f>IFERROR(IF(INDEX(lookup!$G:$G,MATCH($C93,lookup!$D:$D,0))="LEAP","LEAP MONTH - counts as month "&amp;$I93&amp;", flagged for review",""),"")</f>
        <v/>
      </c>
    </row>
    <row r="94">
      <c r="A94" s="12">
        <f>A93+1</f>
        <v/>
      </c>
      <c r="B94" s="0">
        <f>TEXT(A94,"ddd")</f>
        <v/>
      </c>
      <c r="C94" s="0">
        <f>IFERROR(INDEX(lunar_ref!$B:$B,MATCH($A94,lunar_ref!$A:$A,0)),"")</f>
        <v/>
      </c>
      <c r="D94" s="0">
        <f>IFERROR(INDEX(lunar_ref!$C:$C,MATCH($A94,lunar_ref!$A:$A,0)),"")</f>
        <v/>
      </c>
      <c r="E94" s="0">
        <f>_xlfn.XLOOKUP($D94,lookup!$A:$A,lookup!$B:$B)</f>
        <v/>
      </c>
      <c r="F94" s="0">
        <f>IF($E94=1,"New",IF($E94=15,"Full",""))</f>
        <v/>
      </c>
      <c r="H94" s="0">
        <f>IF($E94="","",IF(OR($E94=8,$E94=14,$E94=15,$E94=23,$E95=1,$E96=1),"Fast day",""))</f>
        <v/>
      </c>
      <c r="I94" s="0">
        <f>IFERROR(INDEX(lookup!$E:$E,MATCH($C94,lookup!$D:$D,0)),"")</f>
        <v/>
      </c>
      <c r="J94" s="0">
        <f>IF($I94="","",IF(OR($I94=1,$I94=5,$I94=9),IF($K94="","Long fast month","Long fast month (LEAP)"),""))</f>
        <v/>
      </c>
      <c r="K94" s="0">
        <f>IFERROR(IF(INDEX(lookup!$G:$G,MATCH($C94,lookup!$D:$D,0))="LEAP","LEAP MONTH - counts as month "&amp;$I94&amp;", flagged for review",""),"")</f>
        <v/>
      </c>
    </row>
    <row r="95">
      <c r="A95" s="12">
        <f>A94+1</f>
        <v/>
      </c>
      <c r="B95" s="0">
        <f>TEXT(A95,"ddd")</f>
        <v/>
      </c>
      <c r="C95" s="0">
        <f>IFERROR(INDEX(lunar_ref!$B:$B,MATCH($A95,lunar_ref!$A:$A,0)),"")</f>
        <v/>
      </c>
      <c r="D95" s="0">
        <f>IFERROR(INDEX(lunar_ref!$C:$C,MATCH($A95,lunar_ref!$A:$A,0)),"")</f>
        <v/>
      </c>
      <c r="E95" s="0">
        <f>_xlfn.XLOOKUP($D95,lookup!$A:$A,lookup!$B:$B)</f>
        <v/>
      </c>
      <c r="F95" s="0">
        <f>IF($E95=1,"New",IF($E95=15,"Full",""))</f>
        <v/>
      </c>
      <c r="H95" s="0">
        <f>IF($E95="","",IF(OR($E95=8,$E95=14,$E95=15,$E95=23,$E96=1,$E97=1),"Fast day",""))</f>
        <v/>
      </c>
      <c r="I95" s="0">
        <f>IFERROR(INDEX(lookup!$E:$E,MATCH($C95,lookup!$D:$D,0)),"")</f>
        <v/>
      </c>
      <c r="J95" s="0">
        <f>IF($I95="","",IF(OR($I95=1,$I95=5,$I95=9),IF($K95="","Long fast month","Long fast month (LEAP)"),""))</f>
        <v/>
      </c>
      <c r="K95" s="0">
        <f>IFERROR(IF(INDEX(lookup!$G:$G,MATCH($C95,lookup!$D:$D,0))="LEAP","LEAP MONTH - counts as month "&amp;$I95&amp;", flagged for review",""),"")</f>
        <v/>
      </c>
    </row>
    <row r="96">
      <c r="A96" s="12">
        <f>A95+1</f>
        <v/>
      </c>
      <c r="B96" s="0">
        <f>TEXT(A96,"ddd")</f>
        <v/>
      </c>
      <c r="C96" s="0">
        <f>IFERROR(INDEX(lunar_ref!$B:$B,MATCH($A96,lunar_ref!$A:$A,0)),"")</f>
        <v/>
      </c>
      <c r="D96" s="0">
        <f>IFERROR(INDEX(lunar_ref!$C:$C,MATCH($A96,lunar_ref!$A:$A,0)),"")</f>
        <v/>
      </c>
      <c r="E96" s="0">
        <f>_xlfn.XLOOKUP($D96,lookup!$A:$A,lookup!$B:$B)</f>
        <v/>
      </c>
      <c r="F96" s="0">
        <f>IF($E96=1,"New",IF($E96=15,"Full",""))</f>
        <v/>
      </c>
      <c r="H96" s="0">
        <f>IF($E96="","",IF(OR($E96=8,$E96=14,$E96=15,$E96=23,$E97=1,$E98=1),"Fast day",""))</f>
        <v/>
      </c>
      <c r="I96" s="0">
        <f>IFERROR(INDEX(lookup!$E:$E,MATCH($C96,lookup!$D:$D,0)),"")</f>
        <v/>
      </c>
      <c r="J96" s="0">
        <f>IF($I96="","",IF(OR($I96=1,$I96=5,$I96=9),IF($K96="","Long fast month","Long fast month (LEAP)"),""))</f>
        <v/>
      </c>
      <c r="K96" s="0">
        <f>IFERROR(IF(INDEX(lookup!$G:$G,MATCH($C96,lookup!$D:$D,0))="LEAP","LEAP MONTH - counts as month "&amp;$I96&amp;", flagged for review",""),"")</f>
        <v/>
      </c>
    </row>
    <row r="97">
      <c r="A97" s="12">
        <f>A96+1</f>
        <v/>
      </c>
      <c r="B97" s="0">
        <f>TEXT(A97,"ddd")</f>
        <v/>
      </c>
      <c r="C97" s="0">
        <f>IFERROR(INDEX(lunar_ref!$B:$B,MATCH($A97,lunar_ref!$A:$A,0)),"")</f>
        <v/>
      </c>
      <c r="D97" s="0">
        <f>IFERROR(INDEX(lunar_ref!$C:$C,MATCH($A97,lunar_ref!$A:$A,0)),"")</f>
        <v/>
      </c>
      <c r="E97" s="0">
        <f>_xlfn.XLOOKUP($D97,lookup!$A:$A,lookup!$B:$B)</f>
        <v/>
      </c>
      <c r="F97" s="0">
        <f>IF($E97=1,"New",IF($E97=15,"Full",""))</f>
        <v/>
      </c>
      <c r="H97" s="0">
        <f>IF($E97="","",IF(OR($E97=8,$E97=14,$E97=15,$E97=23,$E98=1,$E99=1),"Fast day",""))</f>
        <v/>
      </c>
      <c r="I97" s="0">
        <f>IFERROR(INDEX(lookup!$E:$E,MATCH($C97,lookup!$D:$D,0)),"")</f>
        <v/>
      </c>
      <c r="J97" s="0">
        <f>IF($I97="","",IF(OR($I97=1,$I97=5,$I97=9),IF($K97="","Long fast month","Long fast month (LEAP)"),""))</f>
        <v/>
      </c>
      <c r="K97" s="0">
        <f>IFERROR(IF(INDEX(lookup!$G:$G,MATCH($C97,lookup!$D:$D,0))="LEAP","LEAP MONTH - counts as month "&amp;$I97&amp;", flagged for review",""),"")</f>
        <v/>
      </c>
    </row>
    <row r="98">
      <c r="A98" s="12">
        <f>A97+1</f>
        <v/>
      </c>
      <c r="B98" s="0">
        <f>TEXT(A98,"ddd")</f>
        <v/>
      </c>
      <c r="C98" s="0">
        <f>IFERROR(INDEX(lunar_ref!$B:$B,MATCH($A98,lunar_ref!$A:$A,0)),"")</f>
        <v/>
      </c>
      <c r="D98" s="0">
        <f>IFERROR(INDEX(lunar_ref!$C:$C,MATCH($A98,lunar_ref!$A:$A,0)),"")</f>
        <v/>
      </c>
      <c r="E98" s="0">
        <f>_xlfn.XLOOKUP($D98,lookup!$A:$A,lookup!$B:$B)</f>
        <v/>
      </c>
      <c r="F98" s="0">
        <f>IF($E98=1,"New",IF($E98=15,"Full",""))</f>
        <v/>
      </c>
      <c r="H98" s="0">
        <f>IF($E98="","",IF(OR($E98=8,$E98=14,$E98=15,$E98=23,$E99=1,$E100=1),"Fast day",""))</f>
        <v/>
      </c>
      <c r="I98" s="0">
        <f>IFERROR(INDEX(lookup!$E:$E,MATCH($C98,lookup!$D:$D,0)),"")</f>
        <v/>
      </c>
      <c r="J98" s="0">
        <f>IF($I98="","",IF(OR($I98=1,$I98=5,$I98=9),IF($K98="","Long fast month","Long fast month (LEAP)"),""))</f>
        <v/>
      </c>
      <c r="K98" s="0">
        <f>IFERROR(IF(INDEX(lookup!$G:$G,MATCH($C98,lookup!$D:$D,0))="LEAP","LEAP MONTH - counts as month "&amp;$I98&amp;", flagged for review",""),"")</f>
        <v/>
      </c>
    </row>
    <row r="99">
      <c r="A99" s="12">
        <f>A98+1</f>
        <v/>
      </c>
      <c r="B99" s="0">
        <f>TEXT(A99,"ddd")</f>
        <v/>
      </c>
      <c r="C99" s="0">
        <f>IFERROR(INDEX(lunar_ref!$B:$B,MATCH($A99,lunar_ref!$A:$A,0)),"")</f>
        <v/>
      </c>
      <c r="D99" s="0">
        <f>IFERROR(INDEX(lunar_ref!$C:$C,MATCH($A99,lunar_ref!$A:$A,0)),"")</f>
        <v/>
      </c>
      <c r="E99" s="0">
        <f>_xlfn.XLOOKUP($D99,lookup!$A:$A,lookup!$B:$B)</f>
        <v/>
      </c>
      <c r="F99" s="0">
        <f>IF($E99=1,"New",IF($E99=15,"Full",""))</f>
        <v/>
      </c>
      <c r="H99" s="0">
        <f>IF($E99="","",IF(OR($E99=8,$E99=14,$E99=15,$E99=23,$E100=1,$E101=1),"Fast day",""))</f>
        <v/>
      </c>
      <c r="I99" s="0">
        <f>IFERROR(INDEX(lookup!$E:$E,MATCH($C99,lookup!$D:$D,0)),"")</f>
        <v/>
      </c>
      <c r="J99" s="0">
        <f>IF($I99="","",IF(OR($I99=1,$I99=5,$I99=9),IF($K99="","Long fast month","Long fast month (LEAP)"),""))</f>
        <v/>
      </c>
      <c r="K99" s="0">
        <f>IFERROR(IF(INDEX(lookup!$G:$G,MATCH($C99,lookup!$D:$D,0))="LEAP","LEAP MONTH - counts as month "&amp;$I99&amp;", flagged for review",""),"")</f>
        <v/>
      </c>
    </row>
    <row r="100">
      <c r="A100" s="12">
        <f>A99+1</f>
        <v/>
      </c>
      <c r="B100" s="0">
        <f>TEXT(A100,"ddd")</f>
        <v/>
      </c>
      <c r="C100" s="0">
        <f>IFERROR(INDEX(lunar_ref!$B:$B,MATCH($A100,lunar_ref!$A:$A,0)),"")</f>
        <v/>
      </c>
      <c r="D100" s="0">
        <f>IFERROR(INDEX(lunar_ref!$C:$C,MATCH($A100,lunar_ref!$A:$A,0)),"")</f>
        <v/>
      </c>
      <c r="E100" s="0">
        <f>_xlfn.XLOOKUP($D100,lookup!$A:$A,lookup!$B:$B)</f>
        <v/>
      </c>
      <c r="F100" s="0">
        <f>IF($E100=1,"New",IF($E100=15,"Full",""))</f>
        <v/>
      </c>
      <c r="H100" s="0">
        <f>IF($E100="","",IF(OR($E100=8,$E100=14,$E100=15,$E100=23,$E101=1,$E102=1),"Fast day",""))</f>
        <v/>
      </c>
      <c r="I100" s="0">
        <f>IFERROR(INDEX(lookup!$E:$E,MATCH($C100,lookup!$D:$D,0)),"")</f>
        <v/>
      </c>
      <c r="J100" s="0">
        <f>IF($I100="","",IF(OR($I100=1,$I100=5,$I100=9),IF($K100="","Long fast month","Long fast month (LEAP)"),""))</f>
        <v/>
      </c>
      <c r="K100" s="0">
        <f>IFERROR(IF(INDEX(lookup!$G:$G,MATCH($C100,lookup!$D:$D,0))="LEAP","LEAP MONTH - counts as month "&amp;$I100&amp;", flagged for review",""),"")</f>
        <v/>
      </c>
    </row>
    <row r="101">
      <c r="A101" s="12">
        <f>A100+1</f>
        <v/>
      </c>
      <c r="B101" s="0">
        <f>TEXT(A101,"ddd")</f>
        <v/>
      </c>
      <c r="C101" s="0">
        <f>IFERROR(INDEX(lunar_ref!$B:$B,MATCH($A101,lunar_ref!$A:$A,0)),"")</f>
        <v/>
      </c>
      <c r="D101" s="0">
        <f>IFERROR(INDEX(lunar_ref!$C:$C,MATCH($A101,lunar_ref!$A:$A,0)),"")</f>
        <v/>
      </c>
      <c r="E101" s="0">
        <f>_xlfn.XLOOKUP($D101,lookup!$A:$A,lookup!$B:$B)</f>
        <v/>
      </c>
      <c r="F101" s="0">
        <f>IF($E101=1,"New",IF($E101=15,"Full",""))</f>
        <v/>
      </c>
      <c r="H101" s="0">
        <f>IF($E101="","",IF(OR($E101=8,$E101=14,$E101=15,$E101=23,$E102=1,$E103=1),"Fast day",""))</f>
        <v/>
      </c>
      <c r="I101" s="0">
        <f>IFERROR(INDEX(lookup!$E:$E,MATCH($C101,lookup!$D:$D,0)),"")</f>
        <v/>
      </c>
      <c r="J101" s="0">
        <f>IF($I101="","",IF(OR($I101=1,$I101=5,$I101=9),IF($K101="","Long fast month","Long fast month (LEAP)"),""))</f>
        <v/>
      </c>
      <c r="K101" s="0">
        <f>IFERROR(IF(INDEX(lookup!$G:$G,MATCH($C101,lookup!$D:$D,0))="LEAP","LEAP MONTH - counts as month "&amp;$I101&amp;", flagged for review",""),"")</f>
        <v/>
      </c>
    </row>
    <row r="102">
      <c r="A102" s="12">
        <f>A101+1</f>
        <v/>
      </c>
      <c r="B102" s="0">
        <f>TEXT(A102,"ddd")</f>
        <v/>
      </c>
      <c r="C102" s="0">
        <f>IFERROR(INDEX(lunar_ref!$B:$B,MATCH($A102,lunar_ref!$A:$A,0)),"")</f>
        <v/>
      </c>
      <c r="D102" s="0">
        <f>IFERROR(INDEX(lunar_ref!$C:$C,MATCH($A102,lunar_ref!$A:$A,0)),"")</f>
        <v/>
      </c>
      <c r="E102" s="0">
        <f>_xlfn.XLOOKUP($D102,lookup!$A:$A,lookup!$B:$B)</f>
        <v/>
      </c>
      <c r="F102" s="0">
        <f>IF($E102=1,"New",IF($E102=15,"Full",""))</f>
        <v/>
      </c>
      <c r="H102" s="0">
        <f>IF($E102="","",IF(OR($E102=8,$E102=14,$E102=15,$E102=23,$E103=1,$E104=1),"Fast day",""))</f>
        <v/>
      </c>
      <c r="I102" s="0">
        <f>IFERROR(INDEX(lookup!$E:$E,MATCH($C102,lookup!$D:$D,0)),"")</f>
        <v/>
      </c>
      <c r="J102" s="0">
        <f>IF($I102="","",IF(OR($I102=1,$I102=5,$I102=9),IF($K102="","Long fast month","Long fast month (LEAP)"),""))</f>
        <v/>
      </c>
      <c r="K102" s="0">
        <f>IFERROR(IF(INDEX(lookup!$G:$G,MATCH($C102,lookup!$D:$D,0))="LEAP","LEAP MONTH - counts as month "&amp;$I102&amp;", flagged for review",""),"")</f>
        <v/>
      </c>
    </row>
    <row r="103">
      <c r="A103" s="12">
        <f>A102+1</f>
        <v/>
      </c>
      <c r="B103" s="0">
        <f>TEXT(A103,"ddd")</f>
        <v/>
      </c>
      <c r="C103" s="0">
        <f>IFERROR(INDEX(lunar_ref!$B:$B,MATCH($A103,lunar_ref!$A:$A,0)),"")</f>
        <v/>
      </c>
      <c r="D103" s="0">
        <f>IFERROR(INDEX(lunar_ref!$C:$C,MATCH($A103,lunar_ref!$A:$A,0)),"")</f>
        <v/>
      </c>
      <c r="E103" s="0">
        <f>_xlfn.XLOOKUP($D103,lookup!$A:$A,lookup!$B:$B)</f>
        <v/>
      </c>
      <c r="F103" s="0">
        <f>IF($E103=1,"New",IF($E103=15,"Full",""))</f>
        <v/>
      </c>
      <c r="H103" s="0">
        <f>IF($E103="","",IF(OR($E103=8,$E103=14,$E103=15,$E103=23,$E104=1,$E105=1),"Fast day",""))</f>
        <v/>
      </c>
      <c r="I103" s="0">
        <f>IFERROR(INDEX(lookup!$E:$E,MATCH($C103,lookup!$D:$D,0)),"")</f>
        <v/>
      </c>
      <c r="J103" s="0">
        <f>IF($I103="","",IF(OR($I103=1,$I103=5,$I103=9),IF($K103="","Long fast month","Long fast month (LEAP)"),""))</f>
        <v/>
      </c>
      <c r="K103" s="0">
        <f>IFERROR(IF(INDEX(lookup!$G:$G,MATCH($C103,lookup!$D:$D,0))="LEAP","LEAP MONTH - counts as month "&amp;$I103&amp;", flagged for review",""),"")</f>
        <v/>
      </c>
    </row>
    <row r="104">
      <c r="A104" s="12">
        <f>A103+1</f>
        <v/>
      </c>
      <c r="B104" s="0">
        <f>TEXT(A104,"ddd")</f>
        <v/>
      </c>
      <c r="C104" s="0">
        <f>IFERROR(INDEX(lunar_ref!$B:$B,MATCH($A104,lunar_ref!$A:$A,0)),"")</f>
        <v/>
      </c>
      <c r="D104" s="0">
        <f>IFERROR(INDEX(lunar_ref!$C:$C,MATCH($A104,lunar_ref!$A:$A,0)),"")</f>
        <v/>
      </c>
      <c r="E104" s="0">
        <f>_xlfn.XLOOKUP($D104,lookup!$A:$A,lookup!$B:$B)</f>
        <v/>
      </c>
      <c r="F104" s="0">
        <f>IF($E104=1,"New",IF($E104=15,"Full",""))</f>
        <v/>
      </c>
      <c r="H104" s="0">
        <f>IF($E104="","",IF(OR($E104=8,$E104=14,$E104=15,$E104=23,$E105=1,$E106=1),"Fast day",""))</f>
        <v/>
      </c>
      <c r="I104" s="0">
        <f>IFERROR(INDEX(lookup!$E:$E,MATCH($C104,lookup!$D:$D,0)),"")</f>
        <v/>
      </c>
      <c r="J104" s="0">
        <f>IF($I104="","",IF(OR($I104=1,$I104=5,$I104=9),IF($K104="","Long fast month","Long fast month (LEAP)"),""))</f>
        <v/>
      </c>
      <c r="K104" s="0">
        <f>IFERROR(IF(INDEX(lookup!$G:$G,MATCH($C104,lookup!$D:$D,0))="LEAP","LEAP MONTH - counts as month "&amp;$I104&amp;", flagged for review",""),"")</f>
        <v/>
      </c>
    </row>
    <row r="105">
      <c r="A105" s="12">
        <f>A104+1</f>
        <v/>
      </c>
      <c r="B105" s="0">
        <f>TEXT(A105,"ddd")</f>
        <v/>
      </c>
      <c r="C105" s="0">
        <f>IFERROR(INDEX(lunar_ref!$B:$B,MATCH($A105,lunar_ref!$A:$A,0)),"")</f>
        <v/>
      </c>
      <c r="D105" s="0">
        <f>IFERROR(INDEX(lunar_ref!$C:$C,MATCH($A105,lunar_ref!$A:$A,0)),"")</f>
        <v/>
      </c>
      <c r="E105" s="0">
        <f>_xlfn.XLOOKUP($D105,lookup!$A:$A,lookup!$B:$B)</f>
        <v/>
      </c>
      <c r="F105" s="0">
        <f>IF($E105=1,"New",IF($E105=15,"Full",""))</f>
        <v/>
      </c>
      <c r="H105" s="0">
        <f>IF($E105="","",IF(OR($E105=8,$E105=14,$E105=15,$E105=23,$E106=1,$E107=1),"Fast day",""))</f>
        <v/>
      </c>
      <c r="I105" s="0">
        <f>IFERROR(INDEX(lookup!$E:$E,MATCH($C105,lookup!$D:$D,0)),"")</f>
        <v/>
      </c>
      <c r="J105" s="0">
        <f>IF($I105="","",IF(OR($I105=1,$I105=5,$I105=9),IF($K105="","Long fast month","Long fast month (LEAP)"),""))</f>
        <v/>
      </c>
      <c r="K105" s="0">
        <f>IFERROR(IF(INDEX(lookup!$G:$G,MATCH($C105,lookup!$D:$D,0))="LEAP","LEAP MONTH - counts as month "&amp;$I105&amp;", flagged for review",""),"")</f>
        <v/>
      </c>
    </row>
    <row r="106">
      <c r="A106" s="12">
        <f>A105+1</f>
        <v/>
      </c>
      <c r="B106" s="0">
        <f>TEXT(A106,"ddd")</f>
        <v/>
      </c>
      <c r="C106" s="0">
        <f>IFERROR(INDEX(lunar_ref!$B:$B,MATCH($A106,lunar_ref!$A:$A,0)),"")</f>
        <v/>
      </c>
      <c r="D106" s="0">
        <f>IFERROR(INDEX(lunar_ref!$C:$C,MATCH($A106,lunar_ref!$A:$A,0)),"")</f>
        <v/>
      </c>
      <c r="E106" s="0">
        <f>_xlfn.XLOOKUP($D106,lookup!$A:$A,lookup!$B:$B)</f>
        <v/>
      </c>
      <c r="F106" s="0">
        <f>IF($E106=1,"New",IF($E106=15,"Full",""))</f>
        <v/>
      </c>
      <c r="H106" s="0">
        <f>IF($E106="","",IF(OR($E106=8,$E106=14,$E106=15,$E106=23,$E107=1,$E108=1),"Fast day",""))</f>
        <v/>
      </c>
      <c r="I106" s="0">
        <f>IFERROR(INDEX(lookup!$E:$E,MATCH($C106,lookup!$D:$D,0)),"")</f>
        <v/>
      </c>
      <c r="J106" s="0">
        <f>IF($I106="","",IF(OR($I106=1,$I106=5,$I106=9),IF($K106="","Long fast month","Long fast month (LEAP)"),""))</f>
        <v/>
      </c>
      <c r="K106" s="0">
        <f>IFERROR(IF(INDEX(lookup!$G:$G,MATCH($C106,lookup!$D:$D,0))="LEAP","LEAP MONTH - counts as month "&amp;$I106&amp;", flagged for review",""),"")</f>
        <v/>
      </c>
    </row>
    <row r="107">
      <c r="A107" s="12">
        <f>A106+1</f>
        <v/>
      </c>
      <c r="B107" s="0">
        <f>TEXT(A107,"ddd")</f>
        <v/>
      </c>
      <c r="C107" s="0">
        <f>IFERROR(INDEX(lunar_ref!$B:$B,MATCH($A107,lunar_ref!$A:$A,0)),"")</f>
        <v/>
      </c>
      <c r="D107" s="0">
        <f>IFERROR(INDEX(lunar_ref!$C:$C,MATCH($A107,lunar_ref!$A:$A,0)),"")</f>
        <v/>
      </c>
      <c r="E107" s="0">
        <f>_xlfn.XLOOKUP($D107,lookup!$A:$A,lookup!$B:$B)</f>
        <v/>
      </c>
      <c r="F107" s="0">
        <f>IF($E107=1,"New",IF($E107=15,"Full",""))</f>
        <v/>
      </c>
      <c r="H107" s="0">
        <f>IF($E107="","",IF(OR($E107=8,$E107=14,$E107=15,$E107=23,$E108=1,$E109=1),"Fast day",""))</f>
        <v/>
      </c>
      <c r="I107" s="0">
        <f>IFERROR(INDEX(lookup!$E:$E,MATCH($C107,lookup!$D:$D,0)),"")</f>
        <v/>
      </c>
      <c r="J107" s="0">
        <f>IF($I107="","",IF(OR($I107=1,$I107=5,$I107=9),IF($K107="","Long fast month","Long fast month (LEAP)"),""))</f>
        <v/>
      </c>
      <c r="K107" s="0">
        <f>IFERROR(IF(INDEX(lookup!$G:$G,MATCH($C107,lookup!$D:$D,0))="LEAP","LEAP MONTH - counts as month "&amp;$I107&amp;", flagged for review",""),"")</f>
        <v/>
      </c>
    </row>
    <row r="108">
      <c r="A108" s="12">
        <f>A107+1</f>
        <v/>
      </c>
      <c r="B108" s="0">
        <f>TEXT(A108,"ddd")</f>
        <v/>
      </c>
      <c r="C108" s="0">
        <f>IFERROR(INDEX(lunar_ref!$B:$B,MATCH($A108,lunar_ref!$A:$A,0)),"")</f>
        <v/>
      </c>
      <c r="D108" s="0">
        <f>IFERROR(INDEX(lunar_ref!$C:$C,MATCH($A108,lunar_ref!$A:$A,0)),"")</f>
        <v/>
      </c>
      <c r="E108" s="0">
        <f>_xlfn.XLOOKUP($D108,lookup!$A:$A,lookup!$B:$B)</f>
        <v/>
      </c>
      <c r="F108" s="0">
        <f>IF($E108=1,"New",IF($E108=15,"Full",""))</f>
        <v/>
      </c>
      <c r="H108" s="0">
        <f>IF($E108="","",IF(OR($E108=8,$E108=14,$E108=15,$E108=23,$E109=1,$E110=1),"Fast day",""))</f>
        <v/>
      </c>
      <c r="I108" s="0">
        <f>IFERROR(INDEX(lookup!$E:$E,MATCH($C108,lookup!$D:$D,0)),"")</f>
        <v/>
      </c>
      <c r="J108" s="0">
        <f>IF($I108="","",IF(OR($I108=1,$I108=5,$I108=9),IF($K108="","Long fast month","Long fast month (LEAP)"),""))</f>
        <v/>
      </c>
      <c r="K108" s="0">
        <f>IFERROR(IF(INDEX(lookup!$G:$G,MATCH($C108,lookup!$D:$D,0))="LEAP","LEAP MONTH - counts as month "&amp;$I108&amp;", flagged for review",""),"")</f>
        <v/>
      </c>
    </row>
    <row r="109">
      <c r="A109" s="12">
        <f>A108+1</f>
        <v/>
      </c>
      <c r="B109" s="0">
        <f>TEXT(A109,"ddd")</f>
        <v/>
      </c>
      <c r="C109" s="0">
        <f>IFERROR(INDEX(lunar_ref!$B:$B,MATCH($A109,lunar_ref!$A:$A,0)),"")</f>
        <v/>
      </c>
      <c r="D109" s="0">
        <f>IFERROR(INDEX(lunar_ref!$C:$C,MATCH($A109,lunar_ref!$A:$A,0)),"")</f>
        <v/>
      </c>
      <c r="E109" s="0">
        <f>_xlfn.XLOOKUP($D109,lookup!$A:$A,lookup!$B:$B)</f>
        <v/>
      </c>
      <c r="F109" s="0">
        <f>IF($E109=1,"New",IF($E109=15,"Full",""))</f>
        <v/>
      </c>
      <c r="H109" s="0">
        <f>IF($E109="","",IF(OR($E109=8,$E109=14,$E109=15,$E109=23,$E110=1,$E111=1),"Fast day",""))</f>
        <v/>
      </c>
      <c r="I109" s="0">
        <f>IFERROR(INDEX(lookup!$E:$E,MATCH($C109,lookup!$D:$D,0)),"")</f>
        <v/>
      </c>
      <c r="J109" s="0">
        <f>IF($I109="","",IF(OR($I109=1,$I109=5,$I109=9),IF($K109="","Long fast month","Long fast month (LEAP)"),""))</f>
        <v/>
      </c>
      <c r="K109" s="0">
        <f>IFERROR(IF(INDEX(lookup!$G:$G,MATCH($C109,lookup!$D:$D,0))="LEAP","LEAP MONTH - counts as month "&amp;$I109&amp;", flagged for review",""),"")</f>
        <v/>
      </c>
    </row>
    <row r="110">
      <c r="A110" s="12">
        <f>A109+1</f>
        <v/>
      </c>
      <c r="B110" s="0">
        <f>TEXT(A110,"ddd")</f>
        <v/>
      </c>
      <c r="C110" s="0">
        <f>IFERROR(INDEX(lunar_ref!$B:$B,MATCH($A110,lunar_ref!$A:$A,0)),"")</f>
        <v/>
      </c>
      <c r="D110" s="0">
        <f>IFERROR(INDEX(lunar_ref!$C:$C,MATCH($A110,lunar_ref!$A:$A,0)),"")</f>
        <v/>
      </c>
      <c r="E110" s="0">
        <f>_xlfn.XLOOKUP($D110,lookup!$A:$A,lookup!$B:$B)</f>
        <v/>
      </c>
      <c r="F110" s="0">
        <f>IF($E110=1,"New",IF($E110=15,"Full",""))</f>
        <v/>
      </c>
      <c r="H110" s="0">
        <f>IF($E110="","",IF(OR($E110=8,$E110=14,$E110=15,$E110=23,$E111=1,$E112=1),"Fast day",""))</f>
        <v/>
      </c>
      <c r="I110" s="0">
        <f>IFERROR(INDEX(lookup!$E:$E,MATCH($C110,lookup!$D:$D,0)),"")</f>
        <v/>
      </c>
      <c r="J110" s="0">
        <f>IF($I110="","",IF(OR($I110=1,$I110=5,$I110=9),IF($K110="","Long fast month","Long fast month (LEAP)"),""))</f>
        <v/>
      </c>
      <c r="K110" s="0">
        <f>IFERROR(IF(INDEX(lookup!$G:$G,MATCH($C110,lookup!$D:$D,0))="LEAP","LEAP MONTH - counts as month "&amp;$I110&amp;", flagged for review",""),"")</f>
        <v/>
      </c>
    </row>
    <row r="111">
      <c r="A111" s="12">
        <f>A110+1</f>
        <v/>
      </c>
      <c r="B111" s="0">
        <f>TEXT(A111,"ddd")</f>
        <v/>
      </c>
      <c r="C111" s="0">
        <f>IFERROR(INDEX(lunar_ref!$B:$B,MATCH($A111,lunar_ref!$A:$A,0)),"")</f>
        <v/>
      </c>
      <c r="D111" s="0">
        <f>IFERROR(INDEX(lunar_ref!$C:$C,MATCH($A111,lunar_ref!$A:$A,0)),"")</f>
        <v/>
      </c>
      <c r="E111" s="0">
        <f>_xlfn.XLOOKUP($D111,lookup!$A:$A,lookup!$B:$B)</f>
        <v/>
      </c>
      <c r="F111" s="0">
        <f>IF($E111=1,"New",IF($E111=15,"Full",""))</f>
        <v/>
      </c>
      <c r="H111" s="0">
        <f>IF($E111="","",IF(OR($E111=8,$E111=14,$E111=15,$E111=23,$E112=1,$E113=1),"Fast day",""))</f>
        <v/>
      </c>
      <c r="I111" s="0">
        <f>IFERROR(INDEX(lookup!$E:$E,MATCH($C111,lookup!$D:$D,0)),"")</f>
        <v/>
      </c>
      <c r="J111" s="0">
        <f>IF($I111="","",IF(OR($I111=1,$I111=5,$I111=9),IF($K111="","Long fast month","Long fast month (LEAP)"),""))</f>
        <v/>
      </c>
      <c r="K111" s="0">
        <f>IFERROR(IF(INDEX(lookup!$G:$G,MATCH($C111,lookup!$D:$D,0))="LEAP","LEAP MONTH - counts as month "&amp;$I111&amp;", flagged for review",""),"")</f>
        <v/>
      </c>
    </row>
    <row r="112">
      <c r="A112" s="12">
        <f>A111+1</f>
        <v/>
      </c>
      <c r="B112" s="0">
        <f>TEXT(A112,"ddd")</f>
        <v/>
      </c>
      <c r="C112" s="0">
        <f>IFERROR(INDEX(lunar_ref!$B:$B,MATCH($A112,lunar_ref!$A:$A,0)),"")</f>
        <v/>
      </c>
      <c r="D112" s="0">
        <f>IFERROR(INDEX(lunar_ref!$C:$C,MATCH($A112,lunar_ref!$A:$A,0)),"")</f>
        <v/>
      </c>
      <c r="E112" s="0">
        <f>_xlfn.XLOOKUP($D112,lookup!$A:$A,lookup!$B:$B)</f>
        <v/>
      </c>
      <c r="F112" s="0">
        <f>IF($E112=1,"New",IF($E112=15,"Full",""))</f>
        <v/>
      </c>
      <c r="H112" s="0">
        <f>IF($E112="","",IF(OR($E112=8,$E112=14,$E112=15,$E112=23,$E113=1,$E114=1),"Fast day",""))</f>
        <v/>
      </c>
      <c r="I112" s="0">
        <f>IFERROR(INDEX(lookup!$E:$E,MATCH($C112,lookup!$D:$D,0)),"")</f>
        <v/>
      </c>
      <c r="J112" s="0">
        <f>IF($I112="","",IF(OR($I112=1,$I112=5,$I112=9),IF($K112="","Long fast month","Long fast month (LEAP)"),""))</f>
        <v/>
      </c>
      <c r="K112" s="0">
        <f>IFERROR(IF(INDEX(lookup!$G:$G,MATCH($C112,lookup!$D:$D,0))="LEAP","LEAP MONTH - counts as month "&amp;$I112&amp;", flagged for review",""),"")</f>
        <v/>
      </c>
    </row>
    <row r="113">
      <c r="A113" s="12">
        <f>A112+1</f>
        <v/>
      </c>
      <c r="B113" s="0">
        <f>TEXT(A113,"ddd")</f>
        <v/>
      </c>
      <c r="C113" s="0">
        <f>IFERROR(INDEX(lunar_ref!$B:$B,MATCH($A113,lunar_ref!$A:$A,0)),"")</f>
        <v/>
      </c>
      <c r="D113" s="0">
        <f>IFERROR(INDEX(lunar_ref!$C:$C,MATCH($A113,lunar_ref!$A:$A,0)),"")</f>
        <v/>
      </c>
      <c r="E113" s="0">
        <f>_xlfn.XLOOKUP($D113,lookup!$A:$A,lookup!$B:$B)</f>
        <v/>
      </c>
      <c r="F113" s="0">
        <f>IF($E113=1,"New",IF($E113=15,"Full",""))</f>
        <v/>
      </c>
      <c r="H113" s="0">
        <f>IF($E113="","",IF(OR($E113=8,$E113=14,$E113=15,$E113=23,$E114=1,$E115=1),"Fast day",""))</f>
        <v/>
      </c>
      <c r="I113" s="0">
        <f>IFERROR(INDEX(lookup!$E:$E,MATCH($C113,lookup!$D:$D,0)),"")</f>
        <v/>
      </c>
      <c r="J113" s="0">
        <f>IF($I113="","",IF(OR($I113=1,$I113=5,$I113=9),IF($K113="","Long fast month","Long fast month (LEAP)"),""))</f>
        <v/>
      </c>
      <c r="K113" s="0">
        <f>IFERROR(IF(INDEX(lookup!$G:$G,MATCH($C113,lookup!$D:$D,0))="LEAP","LEAP MONTH - counts as month "&amp;$I113&amp;", flagged for review",""),"")</f>
        <v/>
      </c>
    </row>
    <row r="114">
      <c r="A114" s="12">
        <f>A113+1</f>
        <v/>
      </c>
      <c r="B114" s="0">
        <f>TEXT(A114,"ddd")</f>
        <v/>
      </c>
      <c r="C114" s="0">
        <f>IFERROR(INDEX(lunar_ref!$B:$B,MATCH($A114,lunar_ref!$A:$A,0)),"")</f>
        <v/>
      </c>
      <c r="D114" s="0">
        <f>IFERROR(INDEX(lunar_ref!$C:$C,MATCH($A114,lunar_ref!$A:$A,0)),"")</f>
        <v/>
      </c>
      <c r="E114" s="0">
        <f>_xlfn.XLOOKUP($D114,lookup!$A:$A,lookup!$B:$B)</f>
        <v/>
      </c>
      <c r="F114" s="0">
        <f>IF($E114=1,"New",IF($E114=15,"Full",""))</f>
        <v/>
      </c>
      <c r="H114" s="0">
        <f>IF($E114="","",IF(OR($E114=8,$E114=14,$E114=15,$E114=23,$E115=1,$E116=1),"Fast day",""))</f>
        <v/>
      </c>
      <c r="I114" s="0">
        <f>IFERROR(INDEX(lookup!$E:$E,MATCH($C114,lookup!$D:$D,0)),"")</f>
        <v/>
      </c>
      <c r="J114" s="0">
        <f>IF($I114="","",IF(OR($I114=1,$I114=5,$I114=9),IF($K114="","Long fast month","Long fast month (LEAP)"),""))</f>
        <v/>
      </c>
      <c r="K114" s="0">
        <f>IFERROR(IF(INDEX(lookup!$G:$G,MATCH($C114,lookup!$D:$D,0))="LEAP","LEAP MONTH - counts as month "&amp;$I114&amp;", flagged for review",""),"")</f>
        <v/>
      </c>
    </row>
    <row r="115">
      <c r="A115" s="12">
        <f>A114+1</f>
        <v/>
      </c>
      <c r="B115" s="0">
        <f>TEXT(A115,"ddd")</f>
        <v/>
      </c>
      <c r="C115" s="0">
        <f>IFERROR(INDEX(lunar_ref!$B:$B,MATCH($A115,lunar_ref!$A:$A,0)),"")</f>
        <v/>
      </c>
      <c r="D115" s="0">
        <f>IFERROR(INDEX(lunar_ref!$C:$C,MATCH($A115,lunar_ref!$A:$A,0)),"")</f>
        <v/>
      </c>
      <c r="E115" s="0">
        <f>_xlfn.XLOOKUP($D115,lookup!$A:$A,lookup!$B:$B)</f>
        <v/>
      </c>
      <c r="F115" s="0">
        <f>IF($E115=1,"New",IF($E115=15,"Full",""))</f>
        <v/>
      </c>
      <c r="H115" s="0">
        <f>IF($E115="","",IF(OR($E115=8,$E115=14,$E115=15,$E115=23,$E116=1,$E117=1),"Fast day",""))</f>
        <v/>
      </c>
      <c r="I115" s="0">
        <f>IFERROR(INDEX(lookup!$E:$E,MATCH($C115,lookup!$D:$D,0)),"")</f>
        <v/>
      </c>
      <c r="J115" s="0">
        <f>IF($I115="","",IF(OR($I115=1,$I115=5,$I115=9),IF($K115="","Long fast month","Long fast month (LEAP)"),""))</f>
        <v/>
      </c>
      <c r="K115" s="0">
        <f>IFERROR(IF(INDEX(lookup!$G:$G,MATCH($C115,lookup!$D:$D,0))="LEAP","LEAP MONTH - counts as month "&amp;$I115&amp;", flagged for review",""),"")</f>
        <v/>
      </c>
    </row>
    <row r="116">
      <c r="A116" s="12">
        <f>A115+1</f>
        <v/>
      </c>
      <c r="B116" s="0">
        <f>TEXT(A116,"ddd")</f>
        <v/>
      </c>
      <c r="C116" s="0">
        <f>IFERROR(INDEX(lunar_ref!$B:$B,MATCH($A116,lunar_ref!$A:$A,0)),"")</f>
        <v/>
      </c>
      <c r="D116" s="0">
        <f>IFERROR(INDEX(lunar_ref!$C:$C,MATCH($A116,lunar_ref!$A:$A,0)),"")</f>
        <v/>
      </c>
      <c r="E116" s="0">
        <f>_xlfn.XLOOKUP($D116,lookup!$A:$A,lookup!$B:$B)</f>
        <v/>
      </c>
      <c r="F116" s="0">
        <f>IF($E116=1,"New",IF($E116=15,"Full",""))</f>
        <v/>
      </c>
      <c r="H116" s="0">
        <f>IF($E116="","",IF(OR($E116=8,$E116=14,$E116=15,$E116=23,$E117=1,$E118=1),"Fast day",""))</f>
        <v/>
      </c>
      <c r="I116" s="0">
        <f>IFERROR(INDEX(lookup!$E:$E,MATCH($C116,lookup!$D:$D,0)),"")</f>
        <v/>
      </c>
      <c r="J116" s="0">
        <f>IF($I116="","",IF(OR($I116=1,$I116=5,$I116=9),IF($K116="","Long fast month","Long fast month (LEAP)"),""))</f>
        <v/>
      </c>
      <c r="K116" s="0">
        <f>IFERROR(IF(INDEX(lookup!$G:$G,MATCH($C116,lookup!$D:$D,0))="LEAP","LEAP MONTH - counts as month "&amp;$I116&amp;", flagged for review",""),"")</f>
        <v/>
      </c>
    </row>
    <row r="117">
      <c r="A117" s="12">
        <f>A116+1</f>
        <v/>
      </c>
      <c r="B117" s="0">
        <f>TEXT(A117,"ddd")</f>
        <v/>
      </c>
      <c r="C117" s="0">
        <f>IFERROR(INDEX(lunar_ref!$B:$B,MATCH($A117,lunar_ref!$A:$A,0)),"")</f>
        <v/>
      </c>
      <c r="D117" s="0">
        <f>IFERROR(INDEX(lunar_ref!$C:$C,MATCH($A117,lunar_ref!$A:$A,0)),"")</f>
        <v/>
      </c>
      <c r="E117" s="0">
        <f>_xlfn.XLOOKUP($D117,lookup!$A:$A,lookup!$B:$B)</f>
        <v/>
      </c>
      <c r="F117" s="0">
        <f>IF($E117=1,"New",IF($E117=15,"Full",""))</f>
        <v/>
      </c>
      <c r="H117" s="0">
        <f>IF($E117="","",IF(OR($E117=8,$E117=14,$E117=15,$E117=23,$E118=1,$E119=1),"Fast day",""))</f>
        <v/>
      </c>
      <c r="I117" s="0">
        <f>IFERROR(INDEX(lookup!$E:$E,MATCH($C117,lookup!$D:$D,0)),"")</f>
        <v/>
      </c>
      <c r="J117" s="0">
        <f>IF($I117="","",IF(OR($I117=1,$I117=5,$I117=9),IF($K117="","Long fast month","Long fast month (LEAP)"),""))</f>
        <v/>
      </c>
      <c r="K117" s="0">
        <f>IFERROR(IF(INDEX(lookup!$G:$G,MATCH($C117,lookup!$D:$D,0))="LEAP","LEAP MONTH - counts as month "&amp;$I117&amp;", flagged for review",""),"")</f>
        <v/>
      </c>
    </row>
    <row r="118">
      <c r="A118" s="12">
        <f>A117+1</f>
        <v/>
      </c>
      <c r="B118" s="0">
        <f>TEXT(A118,"ddd")</f>
        <v/>
      </c>
      <c r="C118" s="0">
        <f>IFERROR(INDEX(lunar_ref!$B:$B,MATCH($A118,lunar_ref!$A:$A,0)),"")</f>
        <v/>
      </c>
      <c r="D118" s="0">
        <f>IFERROR(INDEX(lunar_ref!$C:$C,MATCH($A118,lunar_ref!$A:$A,0)),"")</f>
        <v/>
      </c>
      <c r="E118" s="0">
        <f>_xlfn.XLOOKUP($D118,lookup!$A:$A,lookup!$B:$B)</f>
        <v/>
      </c>
      <c r="F118" s="0">
        <f>IF($E118=1,"New",IF($E118=15,"Full",""))</f>
        <v/>
      </c>
      <c r="H118" s="0">
        <f>IF($E118="","",IF(OR($E118=8,$E118=14,$E118=15,$E118=23,$E119=1,$E120=1),"Fast day",""))</f>
        <v/>
      </c>
      <c r="I118" s="0">
        <f>IFERROR(INDEX(lookup!$E:$E,MATCH($C118,lookup!$D:$D,0)),"")</f>
        <v/>
      </c>
      <c r="J118" s="0">
        <f>IF($I118="","",IF(OR($I118=1,$I118=5,$I118=9),IF($K118="","Long fast month","Long fast month (LEAP)"),""))</f>
        <v/>
      </c>
      <c r="K118" s="0">
        <f>IFERROR(IF(INDEX(lookup!$G:$G,MATCH($C118,lookup!$D:$D,0))="LEAP","LEAP MONTH - counts as month "&amp;$I118&amp;", flagged for review",""),"")</f>
        <v/>
      </c>
    </row>
    <row r="119">
      <c r="A119" s="12">
        <f>A118+1</f>
        <v/>
      </c>
      <c r="B119" s="0">
        <f>TEXT(A119,"ddd")</f>
        <v/>
      </c>
      <c r="C119" s="0">
        <f>IFERROR(INDEX(lunar_ref!$B:$B,MATCH($A119,lunar_ref!$A:$A,0)),"")</f>
        <v/>
      </c>
      <c r="D119" s="0">
        <f>IFERROR(INDEX(lunar_ref!$C:$C,MATCH($A119,lunar_ref!$A:$A,0)),"")</f>
        <v/>
      </c>
      <c r="E119" s="0">
        <f>_xlfn.XLOOKUP($D119,lookup!$A:$A,lookup!$B:$B)</f>
        <v/>
      </c>
      <c r="F119" s="0">
        <f>IF($E119=1,"New",IF($E119=15,"Full",""))</f>
        <v/>
      </c>
      <c r="H119" s="0">
        <f>IF($E119="","",IF(OR($E119=8,$E119=14,$E119=15,$E119=23,$E120=1,$E121=1),"Fast day",""))</f>
        <v/>
      </c>
      <c r="I119" s="0">
        <f>IFERROR(INDEX(lookup!$E:$E,MATCH($C119,lookup!$D:$D,0)),"")</f>
        <v/>
      </c>
      <c r="J119" s="0">
        <f>IF($I119="","",IF(OR($I119=1,$I119=5,$I119=9),IF($K119="","Long fast month","Long fast month (LEAP)"),""))</f>
        <v/>
      </c>
      <c r="K119" s="0">
        <f>IFERROR(IF(INDEX(lookup!$G:$G,MATCH($C119,lookup!$D:$D,0))="LEAP","LEAP MONTH - counts as month "&amp;$I119&amp;", flagged for review",""),"")</f>
        <v/>
      </c>
    </row>
    <row r="120">
      <c r="A120" s="12">
        <f>A119+1</f>
        <v/>
      </c>
      <c r="B120" s="0">
        <f>TEXT(A120,"ddd")</f>
        <v/>
      </c>
      <c r="C120" s="0">
        <f>IFERROR(INDEX(lunar_ref!$B:$B,MATCH($A120,lunar_ref!$A:$A,0)),"")</f>
        <v/>
      </c>
      <c r="D120" s="0">
        <f>IFERROR(INDEX(lunar_ref!$C:$C,MATCH($A120,lunar_ref!$A:$A,0)),"")</f>
        <v/>
      </c>
      <c r="E120" s="0">
        <f>_xlfn.XLOOKUP($D120,lookup!$A:$A,lookup!$B:$B)</f>
        <v/>
      </c>
      <c r="F120" s="0">
        <f>IF($E120=1,"New",IF($E120=15,"Full",""))</f>
        <v/>
      </c>
      <c r="H120" s="0">
        <f>IF($E120="","",IF(OR($E120=8,$E120=14,$E120=15,$E120=23,$E121=1,$E122=1),"Fast day",""))</f>
        <v/>
      </c>
      <c r="I120" s="0">
        <f>IFERROR(INDEX(lookup!$E:$E,MATCH($C120,lookup!$D:$D,0)),"")</f>
        <v/>
      </c>
      <c r="J120" s="0">
        <f>IF($I120="","",IF(OR($I120=1,$I120=5,$I120=9),IF($K120="","Long fast month","Long fast month (LEAP)"),""))</f>
        <v/>
      </c>
      <c r="K120" s="0">
        <f>IFERROR(IF(INDEX(lookup!$G:$G,MATCH($C120,lookup!$D:$D,0))="LEAP","LEAP MONTH - counts as month "&amp;$I120&amp;", flagged for review",""),"")</f>
        <v/>
      </c>
    </row>
    <row r="121">
      <c r="A121" s="12">
        <f>A120+1</f>
        <v/>
      </c>
      <c r="B121" s="0">
        <f>TEXT(A121,"ddd")</f>
        <v/>
      </c>
      <c r="C121" s="0">
        <f>IFERROR(INDEX(lunar_ref!$B:$B,MATCH($A121,lunar_ref!$A:$A,0)),"")</f>
        <v/>
      </c>
      <c r="D121" s="0">
        <f>IFERROR(INDEX(lunar_ref!$C:$C,MATCH($A121,lunar_ref!$A:$A,0)),"")</f>
        <v/>
      </c>
      <c r="E121" s="0">
        <f>_xlfn.XLOOKUP($D121,lookup!$A:$A,lookup!$B:$B)</f>
        <v/>
      </c>
      <c r="F121" s="0">
        <f>IF($E121=1,"New",IF($E121=15,"Full",""))</f>
        <v/>
      </c>
      <c r="H121" s="0">
        <f>IF($E121="","",IF(OR($E121=8,$E121=14,$E121=15,$E121=23,$E122=1,$E123=1),"Fast day",""))</f>
        <v/>
      </c>
      <c r="I121" s="0">
        <f>IFERROR(INDEX(lookup!$E:$E,MATCH($C121,lookup!$D:$D,0)),"")</f>
        <v/>
      </c>
      <c r="J121" s="0">
        <f>IF($I121="","",IF(OR($I121=1,$I121=5,$I121=9),IF($K121="","Long fast month","Long fast month (LEAP)"),""))</f>
        <v/>
      </c>
      <c r="K121" s="0">
        <f>IFERROR(IF(INDEX(lookup!$G:$G,MATCH($C121,lookup!$D:$D,0))="LEAP","LEAP MONTH - counts as month "&amp;$I121&amp;", flagged for review",""),"")</f>
        <v/>
      </c>
    </row>
    <row r="122">
      <c r="A122" s="12">
        <f>A121+1</f>
        <v/>
      </c>
      <c r="B122" s="0">
        <f>TEXT(A122,"ddd")</f>
        <v/>
      </c>
      <c r="C122" s="0">
        <f>IFERROR(INDEX(lunar_ref!$B:$B,MATCH($A122,lunar_ref!$A:$A,0)),"")</f>
        <v/>
      </c>
      <c r="D122" s="0">
        <f>IFERROR(INDEX(lunar_ref!$C:$C,MATCH($A122,lunar_ref!$A:$A,0)),"")</f>
        <v/>
      </c>
      <c r="E122" s="0">
        <f>_xlfn.XLOOKUP($D122,lookup!$A:$A,lookup!$B:$B)</f>
        <v/>
      </c>
      <c r="F122" s="0">
        <f>IF($E122=1,"New",IF($E122=15,"Full",""))</f>
        <v/>
      </c>
      <c r="H122" s="0">
        <f>IF($E122="","",IF(OR($E122=8,$E122=14,$E122=15,$E122=23,$E123=1,$E124=1),"Fast day",""))</f>
        <v/>
      </c>
      <c r="I122" s="0">
        <f>IFERROR(INDEX(lookup!$E:$E,MATCH($C122,lookup!$D:$D,0)),"")</f>
        <v/>
      </c>
      <c r="J122" s="0">
        <f>IF($I122="","",IF(OR($I122=1,$I122=5,$I122=9),IF($K122="","Long fast month","Long fast month (LEAP)"),""))</f>
        <v/>
      </c>
      <c r="K122" s="0">
        <f>IFERROR(IF(INDEX(lookup!$G:$G,MATCH($C122,lookup!$D:$D,0))="LEAP","LEAP MONTH - counts as month "&amp;$I122&amp;", flagged for review",""),"")</f>
        <v/>
      </c>
    </row>
    <row r="123">
      <c r="A123" s="12">
        <f>A122+1</f>
        <v/>
      </c>
      <c r="B123" s="0">
        <f>TEXT(A123,"ddd")</f>
        <v/>
      </c>
      <c r="C123" s="0">
        <f>IFERROR(INDEX(lunar_ref!$B:$B,MATCH($A123,lunar_ref!$A:$A,0)),"")</f>
        <v/>
      </c>
      <c r="D123" s="0">
        <f>IFERROR(INDEX(lunar_ref!$C:$C,MATCH($A123,lunar_ref!$A:$A,0)),"")</f>
        <v/>
      </c>
      <c r="E123" s="0">
        <f>_xlfn.XLOOKUP($D123,lookup!$A:$A,lookup!$B:$B)</f>
        <v/>
      </c>
      <c r="F123" s="0">
        <f>IF($E123=1,"New",IF($E123=15,"Full",""))</f>
        <v/>
      </c>
      <c r="H123" s="0">
        <f>IF($E123="","",IF(OR($E123=8,$E123=14,$E123=15,$E123=23,$E124=1,$E125=1),"Fast day",""))</f>
        <v/>
      </c>
      <c r="I123" s="0">
        <f>IFERROR(INDEX(lookup!$E:$E,MATCH($C123,lookup!$D:$D,0)),"")</f>
        <v/>
      </c>
      <c r="J123" s="0">
        <f>IF($I123="","",IF(OR($I123=1,$I123=5,$I123=9),IF($K123="","Long fast month","Long fast month (LEAP)"),""))</f>
        <v/>
      </c>
      <c r="K123" s="0">
        <f>IFERROR(IF(INDEX(lookup!$G:$G,MATCH($C123,lookup!$D:$D,0))="LEAP","LEAP MONTH - counts as month "&amp;$I123&amp;", flagged for review",""),"")</f>
        <v/>
      </c>
    </row>
    <row r="124">
      <c r="A124" s="12">
        <f>A123+1</f>
        <v/>
      </c>
      <c r="B124" s="0">
        <f>TEXT(A124,"ddd")</f>
        <v/>
      </c>
      <c r="C124" s="0">
        <f>IFERROR(INDEX(lunar_ref!$B:$B,MATCH($A124,lunar_ref!$A:$A,0)),"")</f>
        <v/>
      </c>
      <c r="D124" s="0">
        <f>IFERROR(INDEX(lunar_ref!$C:$C,MATCH($A124,lunar_ref!$A:$A,0)),"")</f>
        <v/>
      </c>
      <c r="E124" s="0">
        <f>_xlfn.XLOOKUP($D124,lookup!$A:$A,lookup!$B:$B)</f>
        <v/>
      </c>
      <c r="F124" s="0">
        <f>IF($E124=1,"New",IF($E124=15,"Full",""))</f>
        <v/>
      </c>
      <c r="H124" s="0">
        <f>IF($E124="","",IF(OR($E124=8,$E124=14,$E124=15,$E124=23,$E125=1,$E126=1),"Fast day",""))</f>
        <v/>
      </c>
      <c r="I124" s="0">
        <f>IFERROR(INDEX(lookup!$E:$E,MATCH($C124,lookup!$D:$D,0)),"")</f>
        <v/>
      </c>
      <c r="J124" s="0">
        <f>IF($I124="","",IF(OR($I124=1,$I124=5,$I124=9),IF($K124="","Long fast month","Long fast month (LEAP)"),""))</f>
        <v/>
      </c>
      <c r="K124" s="0">
        <f>IFERROR(IF(INDEX(lookup!$G:$G,MATCH($C124,lookup!$D:$D,0))="LEAP","LEAP MONTH - counts as month "&amp;$I124&amp;", flagged for review",""),"")</f>
        <v/>
      </c>
    </row>
    <row r="125">
      <c r="A125" s="12">
        <f>A124+1</f>
        <v/>
      </c>
      <c r="B125" s="0">
        <f>TEXT(A125,"ddd")</f>
        <v/>
      </c>
      <c r="C125" s="0">
        <f>IFERROR(INDEX(lunar_ref!$B:$B,MATCH($A125,lunar_ref!$A:$A,0)),"")</f>
        <v/>
      </c>
      <c r="D125" s="0">
        <f>IFERROR(INDEX(lunar_ref!$C:$C,MATCH($A125,lunar_ref!$A:$A,0)),"")</f>
        <v/>
      </c>
      <c r="E125" s="0">
        <f>_xlfn.XLOOKUP($D125,lookup!$A:$A,lookup!$B:$B)</f>
        <v/>
      </c>
      <c r="F125" s="0">
        <f>IF($E125=1,"New",IF($E125=15,"Full",""))</f>
        <v/>
      </c>
      <c r="H125" s="0">
        <f>IF($E125="","",IF(OR($E125=8,$E125=14,$E125=15,$E125=23,$E126=1,$E127=1),"Fast day",""))</f>
        <v/>
      </c>
      <c r="I125" s="0">
        <f>IFERROR(INDEX(lookup!$E:$E,MATCH($C125,lookup!$D:$D,0)),"")</f>
        <v/>
      </c>
      <c r="J125" s="0">
        <f>IF($I125="","",IF(OR($I125=1,$I125=5,$I125=9),IF($K125="","Long fast month","Long fast month (LEAP)"),""))</f>
        <v/>
      </c>
      <c r="K125" s="0">
        <f>IFERROR(IF(INDEX(lookup!$G:$G,MATCH($C125,lookup!$D:$D,0))="LEAP","LEAP MONTH - counts as month "&amp;$I125&amp;", flagged for review",""),"")</f>
        <v/>
      </c>
    </row>
    <row r="126">
      <c r="A126" s="12">
        <f>A125+1</f>
        <v/>
      </c>
      <c r="B126" s="0">
        <f>TEXT(A126,"ddd")</f>
        <v/>
      </c>
      <c r="C126" s="0">
        <f>IFERROR(INDEX(lunar_ref!$B:$B,MATCH($A126,lunar_ref!$A:$A,0)),"")</f>
        <v/>
      </c>
      <c r="D126" s="0">
        <f>IFERROR(INDEX(lunar_ref!$C:$C,MATCH($A126,lunar_ref!$A:$A,0)),"")</f>
        <v/>
      </c>
      <c r="E126" s="0">
        <f>_xlfn.XLOOKUP($D126,lookup!$A:$A,lookup!$B:$B)</f>
        <v/>
      </c>
      <c r="F126" s="0">
        <f>IF($E126=1,"New",IF($E126=15,"Full",""))</f>
        <v/>
      </c>
      <c r="H126" s="0">
        <f>IF($E126="","",IF(OR($E126=8,$E126=14,$E126=15,$E126=23,$E127=1,$E128=1),"Fast day",""))</f>
        <v/>
      </c>
      <c r="I126" s="0">
        <f>IFERROR(INDEX(lookup!$E:$E,MATCH($C126,lookup!$D:$D,0)),"")</f>
        <v/>
      </c>
      <c r="J126" s="0">
        <f>IF($I126="","",IF(OR($I126=1,$I126=5,$I126=9),IF($K126="","Long fast month","Long fast month (LEAP)"),""))</f>
        <v/>
      </c>
      <c r="K126" s="0">
        <f>IFERROR(IF(INDEX(lookup!$G:$G,MATCH($C126,lookup!$D:$D,0))="LEAP","LEAP MONTH - counts as month "&amp;$I126&amp;", flagged for review",""),"")</f>
        <v/>
      </c>
    </row>
    <row r="127">
      <c r="A127" s="12">
        <f>A126+1</f>
        <v/>
      </c>
      <c r="B127" s="0">
        <f>TEXT(A127,"ddd")</f>
        <v/>
      </c>
      <c r="C127" s="0">
        <f>IFERROR(INDEX(lunar_ref!$B:$B,MATCH($A127,lunar_ref!$A:$A,0)),"")</f>
        <v/>
      </c>
      <c r="D127" s="0">
        <f>IFERROR(INDEX(lunar_ref!$C:$C,MATCH($A127,lunar_ref!$A:$A,0)),"")</f>
        <v/>
      </c>
      <c r="E127" s="0">
        <f>_xlfn.XLOOKUP($D127,lookup!$A:$A,lookup!$B:$B)</f>
        <v/>
      </c>
      <c r="F127" s="0">
        <f>IF($E127=1,"New",IF($E127=15,"Full",""))</f>
        <v/>
      </c>
      <c r="H127" s="0">
        <f>IF($E127="","",IF(OR($E127=8,$E127=14,$E127=15,$E127=23,$E128=1,$E129=1),"Fast day",""))</f>
        <v/>
      </c>
      <c r="I127" s="0">
        <f>IFERROR(INDEX(lookup!$E:$E,MATCH($C127,lookup!$D:$D,0)),"")</f>
        <v/>
      </c>
      <c r="J127" s="0">
        <f>IF($I127="","",IF(OR($I127=1,$I127=5,$I127=9),IF($K127="","Long fast month","Long fast month (LEAP)"),""))</f>
        <v/>
      </c>
      <c r="K127" s="0">
        <f>IFERROR(IF(INDEX(lookup!$G:$G,MATCH($C127,lookup!$D:$D,0))="LEAP","LEAP MONTH - counts as month "&amp;$I127&amp;", flagged for review",""),"")</f>
        <v/>
      </c>
    </row>
    <row r="128">
      <c r="A128" s="12">
        <f>A127+1</f>
        <v/>
      </c>
      <c r="B128" s="0">
        <f>TEXT(A128,"ddd")</f>
        <v/>
      </c>
      <c r="C128" s="0">
        <f>IFERROR(INDEX(lunar_ref!$B:$B,MATCH($A128,lunar_ref!$A:$A,0)),"")</f>
        <v/>
      </c>
      <c r="D128" s="0">
        <f>IFERROR(INDEX(lunar_ref!$C:$C,MATCH($A128,lunar_ref!$A:$A,0)),"")</f>
        <v/>
      </c>
      <c r="E128" s="0">
        <f>_xlfn.XLOOKUP($D128,lookup!$A:$A,lookup!$B:$B)</f>
        <v/>
      </c>
      <c r="F128" s="0">
        <f>IF($E128=1,"New",IF($E128=15,"Full",""))</f>
        <v/>
      </c>
      <c r="H128" s="0">
        <f>IF($E128="","",IF(OR($E128=8,$E128=14,$E128=15,$E128=23,$E129=1,$E130=1),"Fast day",""))</f>
        <v/>
      </c>
      <c r="I128" s="0">
        <f>IFERROR(INDEX(lookup!$E:$E,MATCH($C128,lookup!$D:$D,0)),"")</f>
        <v/>
      </c>
      <c r="J128" s="0">
        <f>IF($I128="","",IF(OR($I128=1,$I128=5,$I128=9),IF($K128="","Long fast month","Long fast month (LEAP)"),""))</f>
        <v/>
      </c>
      <c r="K128" s="0">
        <f>IFERROR(IF(INDEX(lookup!$G:$G,MATCH($C128,lookup!$D:$D,0))="LEAP","LEAP MONTH - counts as month "&amp;$I128&amp;", flagged for review",""),"")</f>
        <v/>
      </c>
    </row>
    <row r="129">
      <c r="A129" s="12">
        <f>A128+1</f>
        <v/>
      </c>
      <c r="B129" s="0">
        <f>TEXT(A129,"ddd")</f>
        <v/>
      </c>
      <c r="C129" s="0">
        <f>IFERROR(INDEX(lunar_ref!$B:$B,MATCH($A129,lunar_ref!$A:$A,0)),"")</f>
        <v/>
      </c>
      <c r="D129" s="0">
        <f>IFERROR(INDEX(lunar_ref!$C:$C,MATCH($A129,lunar_ref!$A:$A,0)),"")</f>
        <v/>
      </c>
      <c r="E129" s="0">
        <f>_xlfn.XLOOKUP($D129,lookup!$A:$A,lookup!$B:$B)</f>
        <v/>
      </c>
      <c r="F129" s="0">
        <f>IF($E129=1,"New",IF($E129=15,"Full",""))</f>
        <v/>
      </c>
      <c r="H129" s="0">
        <f>IF($E129="","",IF(OR($E129=8,$E129=14,$E129=15,$E129=23,$E130=1,$E131=1),"Fast day",""))</f>
        <v/>
      </c>
      <c r="I129" s="0">
        <f>IFERROR(INDEX(lookup!$E:$E,MATCH($C129,lookup!$D:$D,0)),"")</f>
        <v/>
      </c>
      <c r="J129" s="0">
        <f>IF($I129="","",IF(OR($I129=1,$I129=5,$I129=9),IF($K129="","Long fast month","Long fast month (LEAP)"),""))</f>
        <v/>
      </c>
      <c r="K129" s="0">
        <f>IFERROR(IF(INDEX(lookup!$G:$G,MATCH($C129,lookup!$D:$D,0))="LEAP","LEAP MONTH - counts as month "&amp;$I129&amp;", flagged for review",""),"")</f>
        <v/>
      </c>
    </row>
    <row r="130">
      <c r="A130" s="12">
        <f>A129+1</f>
        <v/>
      </c>
      <c r="B130" s="0">
        <f>TEXT(A130,"ddd")</f>
        <v/>
      </c>
      <c r="C130" s="0">
        <f>IFERROR(INDEX(lunar_ref!$B:$B,MATCH($A130,lunar_ref!$A:$A,0)),"")</f>
        <v/>
      </c>
      <c r="D130" s="0">
        <f>IFERROR(INDEX(lunar_ref!$C:$C,MATCH($A130,lunar_ref!$A:$A,0)),"")</f>
        <v/>
      </c>
      <c r="E130" s="0">
        <f>_xlfn.XLOOKUP($D130,lookup!$A:$A,lookup!$B:$B)</f>
        <v/>
      </c>
      <c r="F130" s="0">
        <f>IF($E130=1,"New",IF($E130=15,"Full",""))</f>
        <v/>
      </c>
      <c r="H130" s="0">
        <f>IF($E130="","",IF(OR($E130=8,$E130=14,$E130=15,$E130=23,$E131=1,$E132=1),"Fast day",""))</f>
        <v/>
      </c>
      <c r="I130" s="0">
        <f>IFERROR(INDEX(lookup!$E:$E,MATCH($C130,lookup!$D:$D,0)),"")</f>
        <v/>
      </c>
      <c r="J130" s="0">
        <f>IF($I130="","",IF(OR($I130=1,$I130=5,$I130=9),IF($K130="","Long fast month","Long fast month (LEAP)"),""))</f>
        <v/>
      </c>
      <c r="K130" s="0">
        <f>IFERROR(IF(INDEX(lookup!$G:$G,MATCH($C130,lookup!$D:$D,0))="LEAP","LEAP MONTH - counts as month "&amp;$I130&amp;", flagged for review",""),"")</f>
        <v/>
      </c>
    </row>
    <row r="131">
      <c r="A131" s="12">
        <f>A130+1</f>
        <v/>
      </c>
      <c r="B131" s="0">
        <f>TEXT(A131,"ddd")</f>
        <v/>
      </c>
      <c r="C131" s="0">
        <f>IFERROR(INDEX(lunar_ref!$B:$B,MATCH($A131,lunar_ref!$A:$A,0)),"")</f>
        <v/>
      </c>
      <c r="D131" s="0">
        <f>IFERROR(INDEX(lunar_ref!$C:$C,MATCH($A131,lunar_ref!$A:$A,0)),"")</f>
        <v/>
      </c>
      <c r="E131" s="0">
        <f>_xlfn.XLOOKUP($D131,lookup!$A:$A,lookup!$B:$B)</f>
        <v/>
      </c>
      <c r="F131" s="0">
        <f>IF($E131=1,"New",IF($E131=15,"Full",""))</f>
        <v/>
      </c>
      <c r="H131" s="0">
        <f>IF($E131="","",IF(OR($E131=8,$E131=14,$E131=15,$E131=23,$E132=1,$E133=1),"Fast day",""))</f>
        <v/>
      </c>
      <c r="I131" s="0">
        <f>IFERROR(INDEX(lookup!$E:$E,MATCH($C131,lookup!$D:$D,0)),"")</f>
        <v/>
      </c>
      <c r="J131" s="0">
        <f>IF($I131="","",IF(OR($I131=1,$I131=5,$I131=9),IF($K131="","Long fast month","Long fast month (LEAP)"),""))</f>
        <v/>
      </c>
      <c r="K131" s="0">
        <f>IFERROR(IF(INDEX(lookup!$G:$G,MATCH($C131,lookup!$D:$D,0))="LEAP","LEAP MONTH - counts as month "&amp;$I131&amp;", flagged for review",""),"")</f>
        <v/>
      </c>
    </row>
    <row r="132">
      <c r="A132" s="12">
        <f>A131+1</f>
        <v/>
      </c>
      <c r="B132" s="0">
        <f>TEXT(A132,"ddd")</f>
        <v/>
      </c>
      <c r="C132" s="0">
        <f>IFERROR(INDEX(lunar_ref!$B:$B,MATCH($A132,lunar_ref!$A:$A,0)),"")</f>
        <v/>
      </c>
      <c r="D132" s="0">
        <f>IFERROR(INDEX(lunar_ref!$C:$C,MATCH($A132,lunar_ref!$A:$A,0)),"")</f>
        <v/>
      </c>
      <c r="E132" s="0">
        <f>_xlfn.XLOOKUP($D132,lookup!$A:$A,lookup!$B:$B)</f>
        <v/>
      </c>
      <c r="F132" s="0">
        <f>IF($E132=1,"New",IF($E132=15,"Full",""))</f>
        <v/>
      </c>
      <c r="H132" s="0">
        <f>IF($E132="","",IF(OR($E132=8,$E132=14,$E132=15,$E132=23,$E133=1,$E134=1),"Fast day",""))</f>
        <v/>
      </c>
      <c r="I132" s="0">
        <f>IFERROR(INDEX(lookup!$E:$E,MATCH($C132,lookup!$D:$D,0)),"")</f>
        <v/>
      </c>
      <c r="J132" s="0">
        <f>IF($I132="","",IF(OR($I132=1,$I132=5,$I132=9),IF($K132="","Long fast month","Long fast month (LEAP)"),""))</f>
        <v/>
      </c>
      <c r="K132" s="0">
        <f>IFERROR(IF(INDEX(lookup!$G:$G,MATCH($C132,lookup!$D:$D,0))="LEAP","LEAP MONTH - counts as month "&amp;$I132&amp;", flagged for review",""),"")</f>
        <v/>
      </c>
    </row>
    <row r="133">
      <c r="A133" s="12">
        <f>A132+1</f>
        <v/>
      </c>
      <c r="B133" s="0">
        <f>TEXT(A133,"ddd")</f>
        <v/>
      </c>
      <c r="C133" s="0">
        <f>IFERROR(INDEX(lunar_ref!$B:$B,MATCH($A133,lunar_ref!$A:$A,0)),"")</f>
        <v/>
      </c>
      <c r="D133" s="0">
        <f>IFERROR(INDEX(lunar_ref!$C:$C,MATCH($A133,lunar_ref!$A:$A,0)),"")</f>
        <v/>
      </c>
      <c r="E133" s="0">
        <f>_xlfn.XLOOKUP($D133,lookup!$A:$A,lookup!$B:$B)</f>
        <v/>
      </c>
      <c r="F133" s="0">
        <f>IF($E133=1,"New",IF($E133=15,"Full",""))</f>
        <v/>
      </c>
      <c r="H133" s="0">
        <f>IF($E133="","",IF(OR($E133=8,$E133=14,$E133=15,$E133=23,$E134=1,$E135=1),"Fast day",""))</f>
        <v/>
      </c>
      <c r="I133" s="0">
        <f>IFERROR(INDEX(lookup!$E:$E,MATCH($C133,lookup!$D:$D,0)),"")</f>
        <v/>
      </c>
      <c r="J133" s="0">
        <f>IF($I133="","",IF(OR($I133=1,$I133=5,$I133=9),IF($K133="","Long fast month","Long fast month (LEAP)"),""))</f>
        <v/>
      </c>
      <c r="K133" s="0">
        <f>IFERROR(IF(INDEX(lookup!$G:$G,MATCH($C133,lookup!$D:$D,0))="LEAP","LEAP MONTH - counts as month "&amp;$I133&amp;", flagged for review",""),"")</f>
        <v/>
      </c>
    </row>
    <row r="134">
      <c r="A134" s="12">
        <f>A133+1</f>
        <v/>
      </c>
      <c r="B134" s="0">
        <f>TEXT(A134,"ddd")</f>
        <v/>
      </c>
      <c r="C134" s="0">
        <f>IFERROR(INDEX(lunar_ref!$B:$B,MATCH($A134,lunar_ref!$A:$A,0)),"")</f>
        <v/>
      </c>
      <c r="D134" s="0">
        <f>IFERROR(INDEX(lunar_ref!$C:$C,MATCH($A134,lunar_ref!$A:$A,0)),"")</f>
        <v/>
      </c>
      <c r="E134" s="0">
        <f>_xlfn.XLOOKUP($D134,lookup!$A:$A,lookup!$B:$B)</f>
        <v/>
      </c>
      <c r="F134" s="0">
        <f>IF($E134=1,"New",IF($E134=15,"Full",""))</f>
        <v/>
      </c>
      <c r="H134" s="0">
        <f>IF($E134="","",IF(OR($E134=8,$E134=14,$E134=15,$E134=23,$E135=1,$E136=1),"Fast day",""))</f>
        <v/>
      </c>
      <c r="I134" s="0">
        <f>IFERROR(INDEX(lookup!$E:$E,MATCH($C134,lookup!$D:$D,0)),"")</f>
        <v/>
      </c>
      <c r="J134" s="0">
        <f>IF($I134="","",IF(OR($I134=1,$I134=5,$I134=9),IF($K134="","Long fast month","Long fast month (LEAP)"),""))</f>
        <v/>
      </c>
      <c r="K134" s="0">
        <f>IFERROR(IF(INDEX(lookup!$G:$G,MATCH($C134,lookup!$D:$D,0))="LEAP","LEAP MONTH - counts as month "&amp;$I134&amp;", flagged for review",""),"")</f>
        <v/>
      </c>
    </row>
    <row r="135">
      <c r="A135" s="12">
        <f>A134+1</f>
        <v/>
      </c>
      <c r="B135" s="0">
        <f>TEXT(A135,"ddd")</f>
        <v/>
      </c>
      <c r="C135" s="0">
        <f>IFERROR(INDEX(lunar_ref!$B:$B,MATCH($A135,lunar_ref!$A:$A,0)),"")</f>
        <v/>
      </c>
      <c r="D135" s="0">
        <f>IFERROR(INDEX(lunar_ref!$C:$C,MATCH($A135,lunar_ref!$A:$A,0)),"")</f>
        <v/>
      </c>
      <c r="E135" s="0">
        <f>_xlfn.XLOOKUP($D135,lookup!$A:$A,lookup!$B:$B)</f>
        <v/>
      </c>
      <c r="F135" s="0">
        <f>IF($E135=1,"New",IF($E135=15,"Full",""))</f>
        <v/>
      </c>
      <c r="H135" s="0">
        <f>IF($E135="","",IF(OR($E135=8,$E135=14,$E135=15,$E135=23,$E136=1,$E137=1),"Fast day",""))</f>
        <v/>
      </c>
      <c r="I135" s="0">
        <f>IFERROR(INDEX(lookup!$E:$E,MATCH($C135,lookup!$D:$D,0)),"")</f>
        <v/>
      </c>
      <c r="J135" s="0">
        <f>IF($I135="","",IF(OR($I135=1,$I135=5,$I135=9),IF($K135="","Long fast month","Long fast month (LEAP)"),""))</f>
        <v/>
      </c>
      <c r="K135" s="0">
        <f>IFERROR(IF(INDEX(lookup!$G:$G,MATCH($C135,lookup!$D:$D,0))="LEAP","LEAP MONTH - counts as month "&amp;$I135&amp;", flagged for review",""),"")</f>
        <v/>
      </c>
    </row>
    <row r="136">
      <c r="A136" s="12">
        <f>A135+1</f>
        <v/>
      </c>
      <c r="B136" s="0">
        <f>TEXT(A136,"ddd")</f>
        <v/>
      </c>
      <c r="C136" s="0">
        <f>IFERROR(INDEX(lunar_ref!$B:$B,MATCH($A136,lunar_ref!$A:$A,0)),"")</f>
        <v/>
      </c>
      <c r="D136" s="0">
        <f>IFERROR(INDEX(lunar_ref!$C:$C,MATCH($A136,lunar_ref!$A:$A,0)),"")</f>
        <v/>
      </c>
      <c r="E136" s="0">
        <f>_xlfn.XLOOKUP($D136,lookup!$A:$A,lookup!$B:$B)</f>
        <v/>
      </c>
      <c r="F136" s="0">
        <f>IF($E136=1,"New",IF($E136=15,"Full",""))</f>
        <v/>
      </c>
      <c r="H136" s="0">
        <f>IF($E136="","",IF(OR($E136=8,$E136=14,$E136=15,$E136=23,$E137=1,$E138=1),"Fast day",""))</f>
        <v/>
      </c>
      <c r="I136" s="0">
        <f>IFERROR(INDEX(lookup!$E:$E,MATCH($C136,lookup!$D:$D,0)),"")</f>
        <v/>
      </c>
      <c r="J136" s="0">
        <f>IF($I136="","",IF(OR($I136=1,$I136=5,$I136=9),IF($K136="","Long fast month","Long fast month (LEAP)"),""))</f>
        <v/>
      </c>
      <c r="K136" s="0">
        <f>IFERROR(IF(INDEX(lookup!$G:$G,MATCH($C136,lookup!$D:$D,0))="LEAP","LEAP MONTH - counts as month "&amp;$I136&amp;", flagged for review",""),"")</f>
        <v/>
      </c>
    </row>
    <row r="137">
      <c r="A137" s="12">
        <f>A136+1</f>
        <v/>
      </c>
      <c r="B137" s="0">
        <f>TEXT(A137,"ddd")</f>
        <v/>
      </c>
      <c r="C137" s="0">
        <f>IFERROR(INDEX(lunar_ref!$B:$B,MATCH($A137,lunar_ref!$A:$A,0)),"")</f>
        <v/>
      </c>
      <c r="D137" s="0">
        <f>IFERROR(INDEX(lunar_ref!$C:$C,MATCH($A137,lunar_ref!$A:$A,0)),"")</f>
        <v/>
      </c>
      <c r="E137" s="0">
        <f>_xlfn.XLOOKUP($D137,lookup!$A:$A,lookup!$B:$B)</f>
        <v/>
      </c>
      <c r="F137" s="0">
        <f>IF($E137=1,"New",IF($E137=15,"Full",""))</f>
        <v/>
      </c>
      <c r="H137" s="0">
        <f>IF($E137="","",IF(OR($E137=8,$E137=14,$E137=15,$E137=23,$E138=1,$E139=1),"Fast day",""))</f>
        <v/>
      </c>
      <c r="I137" s="0">
        <f>IFERROR(INDEX(lookup!$E:$E,MATCH($C137,lookup!$D:$D,0)),"")</f>
        <v/>
      </c>
      <c r="J137" s="0">
        <f>IF($I137="","",IF(OR($I137=1,$I137=5,$I137=9),IF($K137="","Long fast month","Long fast month (LEAP)"),""))</f>
        <v/>
      </c>
      <c r="K137" s="0">
        <f>IFERROR(IF(INDEX(lookup!$G:$G,MATCH($C137,lookup!$D:$D,0))="LEAP","LEAP MONTH - counts as month "&amp;$I137&amp;", flagged for review",""),"")</f>
        <v/>
      </c>
    </row>
    <row r="138">
      <c r="A138" s="12">
        <f>A137+1</f>
        <v/>
      </c>
      <c r="B138" s="0">
        <f>TEXT(A138,"ddd")</f>
        <v/>
      </c>
      <c r="C138" s="0">
        <f>IFERROR(INDEX(lunar_ref!$B:$B,MATCH($A138,lunar_ref!$A:$A,0)),"")</f>
        <v/>
      </c>
      <c r="D138" s="0">
        <f>IFERROR(INDEX(lunar_ref!$C:$C,MATCH($A138,lunar_ref!$A:$A,0)),"")</f>
        <v/>
      </c>
      <c r="E138" s="0">
        <f>_xlfn.XLOOKUP($D138,lookup!$A:$A,lookup!$B:$B)</f>
        <v/>
      </c>
      <c r="F138" s="0">
        <f>IF($E138=1,"New",IF($E138=15,"Full",""))</f>
        <v/>
      </c>
      <c r="H138" s="0">
        <f>IF($E138="","",IF(OR($E138=8,$E138=14,$E138=15,$E138=23,$E139=1,$E140=1),"Fast day",""))</f>
        <v/>
      </c>
      <c r="I138" s="0">
        <f>IFERROR(INDEX(lookup!$E:$E,MATCH($C138,lookup!$D:$D,0)),"")</f>
        <v/>
      </c>
      <c r="J138" s="0">
        <f>IF($I138="","",IF(OR($I138=1,$I138=5,$I138=9),IF($K138="","Long fast month","Long fast month (LEAP)"),""))</f>
        <v/>
      </c>
      <c r="K138" s="0">
        <f>IFERROR(IF(INDEX(lookup!$G:$G,MATCH($C138,lookup!$D:$D,0))="LEAP","LEAP MONTH - counts as month "&amp;$I138&amp;", flagged for review",""),"")</f>
        <v/>
      </c>
    </row>
    <row r="139">
      <c r="A139" s="12">
        <f>A138+1</f>
        <v/>
      </c>
      <c r="B139" s="0">
        <f>TEXT(A139,"ddd")</f>
        <v/>
      </c>
      <c r="C139" s="0">
        <f>IFERROR(INDEX(lunar_ref!$B:$B,MATCH($A139,lunar_ref!$A:$A,0)),"")</f>
        <v/>
      </c>
      <c r="D139" s="0">
        <f>IFERROR(INDEX(lunar_ref!$C:$C,MATCH($A139,lunar_ref!$A:$A,0)),"")</f>
        <v/>
      </c>
      <c r="E139" s="0">
        <f>_xlfn.XLOOKUP($D139,lookup!$A:$A,lookup!$B:$B)</f>
        <v/>
      </c>
      <c r="F139" s="0">
        <f>IF($E139=1,"New",IF($E139=15,"Full",""))</f>
        <v/>
      </c>
      <c r="H139" s="0">
        <f>IF($E139="","",IF(OR($E139=8,$E139=14,$E139=15,$E139=23,$E140=1,$E141=1),"Fast day",""))</f>
        <v/>
      </c>
      <c r="I139" s="0">
        <f>IFERROR(INDEX(lookup!$E:$E,MATCH($C139,lookup!$D:$D,0)),"")</f>
        <v/>
      </c>
      <c r="J139" s="0">
        <f>IF($I139="","",IF(OR($I139=1,$I139=5,$I139=9),IF($K139="","Long fast month","Long fast month (LEAP)"),""))</f>
        <v/>
      </c>
      <c r="K139" s="0">
        <f>IFERROR(IF(INDEX(lookup!$G:$G,MATCH($C139,lookup!$D:$D,0))="LEAP","LEAP MONTH - counts as month "&amp;$I139&amp;", flagged for review",""),"")</f>
        <v/>
      </c>
    </row>
    <row r="140">
      <c r="A140" s="12">
        <f>A139+1</f>
        <v/>
      </c>
      <c r="B140" s="0">
        <f>TEXT(A140,"ddd")</f>
        <v/>
      </c>
      <c r="C140" s="0">
        <f>IFERROR(INDEX(lunar_ref!$B:$B,MATCH($A140,lunar_ref!$A:$A,0)),"")</f>
        <v/>
      </c>
      <c r="D140" s="0">
        <f>IFERROR(INDEX(lunar_ref!$C:$C,MATCH($A140,lunar_ref!$A:$A,0)),"")</f>
        <v/>
      </c>
      <c r="E140" s="0">
        <f>_xlfn.XLOOKUP($D140,lookup!$A:$A,lookup!$B:$B)</f>
        <v/>
      </c>
      <c r="F140" s="0">
        <f>IF($E140=1,"New",IF($E140=15,"Full",""))</f>
        <v/>
      </c>
      <c r="H140" s="0">
        <f>IF($E140="","",IF(OR($E140=8,$E140=14,$E140=15,$E140=23,$E141=1,$E142=1),"Fast day",""))</f>
        <v/>
      </c>
      <c r="I140" s="0">
        <f>IFERROR(INDEX(lookup!$E:$E,MATCH($C140,lookup!$D:$D,0)),"")</f>
        <v/>
      </c>
      <c r="J140" s="0">
        <f>IF($I140="","",IF(OR($I140=1,$I140=5,$I140=9),IF($K140="","Long fast month","Long fast month (LEAP)"),""))</f>
        <v/>
      </c>
      <c r="K140" s="0">
        <f>IFERROR(IF(INDEX(lookup!$G:$G,MATCH($C140,lookup!$D:$D,0))="LEAP","LEAP MONTH - counts as month "&amp;$I140&amp;", flagged for review",""),"")</f>
        <v/>
      </c>
    </row>
    <row r="141">
      <c r="A141" s="12">
        <f>A140+1</f>
        <v/>
      </c>
      <c r="B141" s="0">
        <f>TEXT(A141,"ddd")</f>
        <v/>
      </c>
      <c r="C141" s="0">
        <f>IFERROR(INDEX(lunar_ref!$B:$B,MATCH($A141,lunar_ref!$A:$A,0)),"")</f>
        <v/>
      </c>
      <c r="D141" s="0">
        <f>IFERROR(INDEX(lunar_ref!$C:$C,MATCH($A141,lunar_ref!$A:$A,0)),"")</f>
        <v/>
      </c>
      <c r="E141" s="0">
        <f>_xlfn.XLOOKUP($D141,lookup!$A:$A,lookup!$B:$B)</f>
        <v/>
      </c>
      <c r="F141" s="0">
        <f>IF($E141=1,"New",IF($E141=15,"Full",""))</f>
        <v/>
      </c>
      <c r="H141" s="0">
        <f>IF($E141="","",IF(OR($E141=8,$E141=14,$E141=15,$E141=23,$E142=1,$E143=1),"Fast day",""))</f>
        <v/>
      </c>
      <c r="I141" s="0">
        <f>IFERROR(INDEX(lookup!$E:$E,MATCH($C141,lookup!$D:$D,0)),"")</f>
        <v/>
      </c>
      <c r="J141" s="0">
        <f>IF($I141="","",IF(OR($I141=1,$I141=5,$I141=9),IF($K141="","Long fast month","Long fast month (LEAP)"),""))</f>
        <v/>
      </c>
      <c r="K141" s="0">
        <f>IFERROR(IF(INDEX(lookup!$G:$G,MATCH($C141,lookup!$D:$D,0))="LEAP","LEAP MONTH - counts as month "&amp;$I141&amp;", flagged for review",""),"")</f>
        <v/>
      </c>
    </row>
    <row r="142">
      <c r="A142" s="12">
        <f>A141+1</f>
        <v/>
      </c>
      <c r="B142" s="0">
        <f>TEXT(A142,"ddd")</f>
        <v/>
      </c>
      <c r="C142" s="0">
        <f>IFERROR(INDEX(lunar_ref!$B:$B,MATCH($A142,lunar_ref!$A:$A,0)),"")</f>
        <v/>
      </c>
      <c r="D142" s="0">
        <f>IFERROR(INDEX(lunar_ref!$C:$C,MATCH($A142,lunar_ref!$A:$A,0)),"")</f>
        <v/>
      </c>
      <c r="E142" s="0">
        <f>_xlfn.XLOOKUP($D142,lookup!$A:$A,lookup!$B:$B)</f>
        <v/>
      </c>
      <c r="F142" s="0">
        <f>IF($E142=1,"New",IF($E142=15,"Full",""))</f>
        <v/>
      </c>
      <c r="H142" s="0">
        <f>IF($E142="","",IF(OR($E142=8,$E142=14,$E142=15,$E142=23,$E143=1,$E144=1),"Fast day",""))</f>
        <v/>
      </c>
      <c r="I142" s="0">
        <f>IFERROR(INDEX(lookup!$E:$E,MATCH($C142,lookup!$D:$D,0)),"")</f>
        <v/>
      </c>
      <c r="J142" s="0">
        <f>IF($I142="","",IF(OR($I142=1,$I142=5,$I142=9),IF($K142="","Long fast month","Long fast month (LEAP)"),""))</f>
        <v/>
      </c>
      <c r="K142" s="0">
        <f>IFERROR(IF(INDEX(lookup!$G:$G,MATCH($C142,lookup!$D:$D,0))="LEAP","LEAP MONTH - counts as month "&amp;$I142&amp;", flagged for review",""),"")</f>
        <v/>
      </c>
    </row>
    <row r="143">
      <c r="A143" s="12">
        <f>A142+1</f>
        <v/>
      </c>
      <c r="B143" s="0">
        <f>TEXT(A143,"ddd")</f>
        <v/>
      </c>
      <c r="C143" s="0">
        <f>IFERROR(INDEX(lunar_ref!$B:$B,MATCH($A143,lunar_ref!$A:$A,0)),"")</f>
        <v/>
      </c>
      <c r="D143" s="0">
        <f>IFERROR(INDEX(lunar_ref!$C:$C,MATCH($A143,lunar_ref!$A:$A,0)),"")</f>
        <v/>
      </c>
      <c r="E143" s="0">
        <f>_xlfn.XLOOKUP($D143,lookup!$A:$A,lookup!$B:$B)</f>
        <v/>
      </c>
      <c r="F143" s="0">
        <f>IF($E143=1,"New",IF($E143=15,"Full",""))</f>
        <v/>
      </c>
      <c r="H143" s="0">
        <f>IF($E143="","",IF(OR($E143=8,$E143=14,$E143=15,$E143=23,$E144=1,$E145=1),"Fast day",""))</f>
        <v/>
      </c>
      <c r="I143" s="0">
        <f>IFERROR(INDEX(lookup!$E:$E,MATCH($C143,lookup!$D:$D,0)),"")</f>
        <v/>
      </c>
      <c r="J143" s="0">
        <f>IF($I143="","",IF(OR($I143=1,$I143=5,$I143=9),IF($K143="","Long fast month","Long fast month (LEAP)"),""))</f>
        <v/>
      </c>
      <c r="K143" s="0">
        <f>IFERROR(IF(INDEX(lookup!$G:$G,MATCH($C143,lookup!$D:$D,0))="LEAP","LEAP MONTH - counts as month "&amp;$I143&amp;", flagged for review",""),"")</f>
        <v/>
      </c>
    </row>
    <row r="144">
      <c r="A144" s="12">
        <f>A143+1</f>
        <v/>
      </c>
      <c r="B144" s="0">
        <f>TEXT(A144,"ddd")</f>
        <v/>
      </c>
      <c r="C144" s="0">
        <f>IFERROR(INDEX(lunar_ref!$B:$B,MATCH($A144,lunar_ref!$A:$A,0)),"")</f>
        <v/>
      </c>
      <c r="D144" s="0">
        <f>IFERROR(INDEX(lunar_ref!$C:$C,MATCH($A144,lunar_ref!$A:$A,0)),"")</f>
        <v/>
      </c>
      <c r="E144" s="0">
        <f>_xlfn.XLOOKUP($D144,lookup!$A:$A,lookup!$B:$B)</f>
        <v/>
      </c>
      <c r="F144" s="0">
        <f>IF($E144=1,"New",IF($E144=15,"Full",""))</f>
        <v/>
      </c>
      <c r="H144" s="0">
        <f>IF($E144="","",IF(OR($E144=8,$E144=14,$E144=15,$E144=23,$E145=1,$E146=1),"Fast day",""))</f>
        <v/>
      </c>
      <c r="I144" s="0">
        <f>IFERROR(INDEX(lookup!$E:$E,MATCH($C144,lookup!$D:$D,0)),"")</f>
        <v/>
      </c>
      <c r="J144" s="0">
        <f>IF($I144="","",IF(OR($I144=1,$I144=5,$I144=9),IF($K144="","Long fast month","Long fast month (LEAP)"),""))</f>
        <v/>
      </c>
      <c r="K144" s="0">
        <f>IFERROR(IF(INDEX(lookup!$G:$G,MATCH($C144,lookup!$D:$D,0))="LEAP","LEAP MONTH - counts as month "&amp;$I144&amp;", flagged for review",""),"")</f>
        <v/>
      </c>
    </row>
    <row r="145">
      <c r="A145" s="12">
        <f>A144+1</f>
        <v/>
      </c>
      <c r="B145" s="0">
        <f>TEXT(A145,"ddd")</f>
        <v/>
      </c>
      <c r="C145" s="0">
        <f>IFERROR(INDEX(lunar_ref!$B:$B,MATCH($A145,lunar_ref!$A:$A,0)),"")</f>
        <v/>
      </c>
      <c r="D145" s="0">
        <f>IFERROR(INDEX(lunar_ref!$C:$C,MATCH($A145,lunar_ref!$A:$A,0)),"")</f>
        <v/>
      </c>
      <c r="E145" s="0">
        <f>_xlfn.XLOOKUP($D145,lookup!$A:$A,lookup!$B:$B)</f>
        <v/>
      </c>
      <c r="F145" s="0">
        <f>IF($E145=1,"New",IF($E145=15,"Full",""))</f>
        <v/>
      </c>
      <c r="H145" s="0">
        <f>IF($E145="","",IF(OR($E145=8,$E145=14,$E145=15,$E145=23,$E146=1,$E147=1),"Fast day",""))</f>
        <v/>
      </c>
      <c r="I145" s="0">
        <f>IFERROR(INDEX(lookup!$E:$E,MATCH($C145,lookup!$D:$D,0)),"")</f>
        <v/>
      </c>
      <c r="J145" s="0">
        <f>IF($I145="","",IF(OR($I145=1,$I145=5,$I145=9),IF($K145="","Long fast month","Long fast month (LEAP)"),""))</f>
        <v/>
      </c>
      <c r="K145" s="0">
        <f>IFERROR(IF(INDEX(lookup!$G:$G,MATCH($C145,lookup!$D:$D,0))="LEAP","LEAP MONTH - counts as month "&amp;$I145&amp;", flagged for review",""),"")</f>
        <v/>
      </c>
    </row>
    <row r="146">
      <c r="A146" s="12">
        <f>A145+1</f>
        <v/>
      </c>
      <c r="B146" s="0">
        <f>TEXT(A146,"ddd")</f>
        <v/>
      </c>
      <c r="C146" s="0">
        <f>IFERROR(INDEX(lunar_ref!$B:$B,MATCH($A146,lunar_ref!$A:$A,0)),"")</f>
        <v/>
      </c>
      <c r="D146" s="0">
        <f>IFERROR(INDEX(lunar_ref!$C:$C,MATCH($A146,lunar_ref!$A:$A,0)),"")</f>
        <v/>
      </c>
      <c r="E146" s="0">
        <f>_xlfn.XLOOKUP($D146,lookup!$A:$A,lookup!$B:$B)</f>
        <v/>
      </c>
      <c r="F146" s="0">
        <f>IF($E146=1,"New",IF($E146=15,"Full",""))</f>
        <v/>
      </c>
      <c r="H146" s="0">
        <f>IF($E146="","",IF(OR($E146=8,$E146=14,$E146=15,$E146=23,$E147=1,$E148=1),"Fast day",""))</f>
        <v/>
      </c>
      <c r="I146" s="0">
        <f>IFERROR(INDEX(lookup!$E:$E,MATCH($C146,lookup!$D:$D,0)),"")</f>
        <v/>
      </c>
      <c r="J146" s="0">
        <f>IF($I146="","",IF(OR($I146=1,$I146=5,$I146=9),IF($K146="","Long fast month","Long fast month (LEAP)"),""))</f>
        <v/>
      </c>
      <c r="K146" s="0">
        <f>IFERROR(IF(INDEX(lookup!$G:$G,MATCH($C146,lookup!$D:$D,0))="LEAP","LEAP MONTH - counts as month "&amp;$I146&amp;", flagged for review",""),"")</f>
        <v/>
      </c>
    </row>
    <row r="147">
      <c r="A147" s="12">
        <f>A146+1</f>
        <v/>
      </c>
      <c r="B147" s="0">
        <f>TEXT(A147,"ddd")</f>
        <v/>
      </c>
      <c r="C147" s="0">
        <f>IFERROR(INDEX(lunar_ref!$B:$B,MATCH($A147,lunar_ref!$A:$A,0)),"")</f>
        <v/>
      </c>
      <c r="D147" s="0">
        <f>IFERROR(INDEX(lunar_ref!$C:$C,MATCH($A147,lunar_ref!$A:$A,0)),"")</f>
        <v/>
      </c>
      <c r="E147" s="0">
        <f>_xlfn.XLOOKUP($D147,lookup!$A:$A,lookup!$B:$B)</f>
        <v/>
      </c>
      <c r="F147" s="0">
        <f>IF($E147=1,"New",IF($E147=15,"Full",""))</f>
        <v/>
      </c>
      <c r="H147" s="0">
        <f>IF($E147="","",IF(OR($E147=8,$E147=14,$E147=15,$E147=23,$E148=1,$E149=1),"Fast day",""))</f>
        <v/>
      </c>
      <c r="I147" s="0">
        <f>IFERROR(INDEX(lookup!$E:$E,MATCH($C147,lookup!$D:$D,0)),"")</f>
        <v/>
      </c>
      <c r="J147" s="0">
        <f>IF($I147="","",IF(OR($I147=1,$I147=5,$I147=9),IF($K147="","Long fast month","Long fast month (LEAP)"),""))</f>
        <v/>
      </c>
      <c r="K147" s="0">
        <f>IFERROR(IF(INDEX(lookup!$G:$G,MATCH($C147,lookup!$D:$D,0))="LEAP","LEAP MONTH - counts as month "&amp;$I147&amp;", flagged for review",""),"")</f>
        <v/>
      </c>
    </row>
    <row r="148">
      <c r="A148" s="12">
        <f>A147+1</f>
        <v/>
      </c>
      <c r="B148" s="0">
        <f>TEXT(A148,"ddd")</f>
        <v/>
      </c>
      <c r="C148" s="0">
        <f>IFERROR(INDEX(lunar_ref!$B:$B,MATCH($A148,lunar_ref!$A:$A,0)),"")</f>
        <v/>
      </c>
      <c r="D148" s="0">
        <f>IFERROR(INDEX(lunar_ref!$C:$C,MATCH($A148,lunar_ref!$A:$A,0)),"")</f>
        <v/>
      </c>
      <c r="E148" s="0">
        <f>_xlfn.XLOOKUP($D148,lookup!$A:$A,lookup!$B:$B)</f>
        <v/>
      </c>
      <c r="F148" s="0">
        <f>IF($E148=1,"New",IF($E148=15,"Full",""))</f>
        <v/>
      </c>
      <c r="H148" s="0">
        <f>IF($E148="","",IF(OR($E148=8,$E148=14,$E148=15,$E148=23,$E149=1,$E150=1),"Fast day",""))</f>
        <v/>
      </c>
      <c r="I148" s="0">
        <f>IFERROR(INDEX(lookup!$E:$E,MATCH($C148,lookup!$D:$D,0)),"")</f>
        <v/>
      </c>
      <c r="J148" s="0">
        <f>IF($I148="","",IF(OR($I148=1,$I148=5,$I148=9),IF($K148="","Long fast month","Long fast month (LEAP)"),""))</f>
        <v/>
      </c>
      <c r="K148" s="0">
        <f>IFERROR(IF(INDEX(lookup!$G:$G,MATCH($C148,lookup!$D:$D,0))="LEAP","LEAP MONTH - counts as month "&amp;$I148&amp;", flagged for review",""),"")</f>
        <v/>
      </c>
    </row>
    <row r="149">
      <c r="A149" s="12">
        <f>A148+1</f>
        <v/>
      </c>
      <c r="B149" s="0">
        <f>TEXT(A149,"ddd")</f>
        <v/>
      </c>
      <c r="C149" s="0">
        <f>IFERROR(INDEX(lunar_ref!$B:$B,MATCH($A149,lunar_ref!$A:$A,0)),"")</f>
        <v/>
      </c>
      <c r="D149" s="0">
        <f>IFERROR(INDEX(lunar_ref!$C:$C,MATCH($A149,lunar_ref!$A:$A,0)),"")</f>
        <v/>
      </c>
      <c r="E149" s="0">
        <f>_xlfn.XLOOKUP($D149,lookup!$A:$A,lookup!$B:$B)</f>
        <v/>
      </c>
      <c r="F149" s="0">
        <f>IF($E149=1,"New",IF($E149=15,"Full",""))</f>
        <v/>
      </c>
      <c r="H149" s="0">
        <f>IF($E149="","",IF(OR($E149=8,$E149=14,$E149=15,$E149=23,$E150=1,$E151=1),"Fast day",""))</f>
        <v/>
      </c>
      <c r="I149" s="0">
        <f>IFERROR(INDEX(lookup!$E:$E,MATCH($C149,lookup!$D:$D,0)),"")</f>
        <v/>
      </c>
      <c r="J149" s="0">
        <f>IF($I149="","",IF(OR($I149=1,$I149=5,$I149=9),IF($K149="","Long fast month","Long fast month (LEAP)"),""))</f>
        <v/>
      </c>
      <c r="K149" s="0">
        <f>IFERROR(IF(INDEX(lookup!$G:$G,MATCH($C149,lookup!$D:$D,0))="LEAP","LEAP MONTH - counts as month "&amp;$I149&amp;", flagged for review",""),"")</f>
        <v/>
      </c>
    </row>
    <row r="150">
      <c r="A150" s="12">
        <f>A149+1</f>
        <v/>
      </c>
      <c r="B150" s="0">
        <f>TEXT(A150,"ddd")</f>
        <v/>
      </c>
      <c r="C150" s="0">
        <f>IFERROR(INDEX(lunar_ref!$B:$B,MATCH($A150,lunar_ref!$A:$A,0)),"")</f>
        <v/>
      </c>
      <c r="D150" s="0">
        <f>IFERROR(INDEX(lunar_ref!$C:$C,MATCH($A150,lunar_ref!$A:$A,0)),"")</f>
        <v/>
      </c>
      <c r="E150" s="0">
        <f>_xlfn.XLOOKUP($D150,lookup!$A:$A,lookup!$B:$B)</f>
        <v/>
      </c>
      <c r="F150" s="0">
        <f>IF($E150=1,"New",IF($E150=15,"Full",""))</f>
        <v/>
      </c>
      <c r="H150" s="0">
        <f>IF($E150="","",IF(OR($E150=8,$E150=14,$E150=15,$E150=23,$E151=1,$E152=1),"Fast day",""))</f>
        <v/>
      </c>
      <c r="I150" s="0">
        <f>IFERROR(INDEX(lookup!$E:$E,MATCH($C150,lookup!$D:$D,0)),"")</f>
        <v/>
      </c>
      <c r="J150" s="0">
        <f>IF($I150="","",IF(OR($I150=1,$I150=5,$I150=9),IF($K150="","Long fast month","Long fast month (LEAP)"),""))</f>
        <v/>
      </c>
      <c r="K150" s="0">
        <f>IFERROR(IF(INDEX(lookup!$G:$G,MATCH($C150,lookup!$D:$D,0))="LEAP","LEAP MONTH - counts as month "&amp;$I150&amp;", flagged for review",""),"")</f>
        <v/>
      </c>
    </row>
    <row r="151">
      <c r="A151" s="12">
        <f>A150+1</f>
        <v/>
      </c>
      <c r="B151" s="0">
        <f>TEXT(A151,"ddd")</f>
        <v/>
      </c>
      <c r="C151" s="0">
        <f>IFERROR(INDEX(lunar_ref!$B:$B,MATCH($A151,lunar_ref!$A:$A,0)),"")</f>
        <v/>
      </c>
      <c r="D151" s="0">
        <f>IFERROR(INDEX(lunar_ref!$C:$C,MATCH($A151,lunar_ref!$A:$A,0)),"")</f>
        <v/>
      </c>
      <c r="E151" s="0">
        <f>_xlfn.XLOOKUP($D151,lookup!$A:$A,lookup!$B:$B)</f>
        <v/>
      </c>
      <c r="F151" s="0">
        <f>IF($E151=1,"New",IF($E151=15,"Full",""))</f>
        <v/>
      </c>
      <c r="H151" s="0">
        <f>IF($E151="","",IF(OR($E151=8,$E151=14,$E151=15,$E151=23,$E152=1,$E153=1),"Fast day",""))</f>
        <v/>
      </c>
      <c r="I151" s="0">
        <f>IFERROR(INDEX(lookup!$E:$E,MATCH($C151,lookup!$D:$D,0)),"")</f>
        <v/>
      </c>
      <c r="J151" s="0">
        <f>IF($I151="","",IF(OR($I151=1,$I151=5,$I151=9),IF($K151="","Long fast month","Long fast month (LEAP)"),""))</f>
        <v/>
      </c>
      <c r="K151" s="0">
        <f>IFERROR(IF(INDEX(lookup!$G:$G,MATCH($C151,lookup!$D:$D,0))="LEAP","LEAP MONTH - counts as month "&amp;$I151&amp;", flagged for review",""),"")</f>
        <v/>
      </c>
    </row>
    <row r="152">
      <c r="A152" s="12">
        <f>A151+1</f>
        <v/>
      </c>
      <c r="B152" s="0">
        <f>TEXT(A152,"ddd")</f>
        <v/>
      </c>
      <c r="C152" s="0">
        <f>IFERROR(INDEX(lunar_ref!$B:$B,MATCH($A152,lunar_ref!$A:$A,0)),"")</f>
        <v/>
      </c>
      <c r="D152" s="0">
        <f>IFERROR(INDEX(lunar_ref!$C:$C,MATCH($A152,lunar_ref!$A:$A,0)),"")</f>
        <v/>
      </c>
      <c r="E152" s="0">
        <f>_xlfn.XLOOKUP($D152,lookup!$A:$A,lookup!$B:$B)</f>
        <v/>
      </c>
      <c r="F152" s="0">
        <f>IF($E152=1,"New",IF($E152=15,"Full",""))</f>
        <v/>
      </c>
      <c r="H152" s="0">
        <f>IF($E152="","",IF(OR($E152=8,$E152=14,$E152=15,$E152=23,$E153=1,$E154=1),"Fast day",""))</f>
        <v/>
      </c>
      <c r="I152" s="0">
        <f>IFERROR(INDEX(lookup!$E:$E,MATCH($C152,lookup!$D:$D,0)),"")</f>
        <v/>
      </c>
      <c r="J152" s="0">
        <f>IF($I152="","",IF(OR($I152=1,$I152=5,$I152=9),IF($K152="","Long fast month","Long fast month (LEAP)"),""))</f>
        <v/>
      </c>
      <c r="K152" s="0">
        <f>IFERROR(IF(INDEX(lookup!$G:$G,MATCH($C152,lookup!$D:$D,0))="LEAP","LEAP MONTH - counts as month "&amp;$I152&amp;", flagged for review",""),"")</f>
        <v/>
      </c>
    </row>
    <row r="153">
      <c r="A153" s="12">
        <f>A152+1</f>
        <v/>
      </c>
      <c r="B153" s="0">
        <f>TEXT(A153,"ddd")</f>
        <v/>
      </c>
      <c r="C153" s="0">
        <f>IFERROR(INDEX(lunar_ref!$B:$B,MATCH($A153,lunar_ref!$A:$A,0)),"")</f>
        <v/>
      </c>
      <c r="D153" s="0">
        <f>IFERROR(INDEX(lunar_ref!$C:$C,MATCH($A153,lunar_ref!$A:$A,0)),"")</f>
        <v/>
      </c>
      <c r="E153" s="0">
        <f>_xlfn.XLOOKUP($D153,lookup!$A:$A,lookup!$B:$B)</f>
        <v/>
      </c>
      <c r="F153" s="0">
        <f>IF($E153=1,"New",IF($E153=15,"Full",""))</f>
        <v/>
      </c>
      <c r="H153" s="0">
        <f>IF($E153="","",IF(OR($E153=8,$E153=14,$E153=15,$E153=23,$E154=1,$E155=1),"Fast day",""))</f>
        <v/>
      </c>
      <c r="I153" s="0">
        <f>IFERROR(INDEX(lookup!$E:$E,MATCH($C153,lookup!$D:$D,0)),"")</f>
        <v/>
      </c>
      <c r="J153" s="0">
        <f>IF($I153="","",IF(OR($I153=1,$I153=5,$I153=9),IF($K153="","Long fast month","Long fast month (LEAP)"),""))</f>
        <v/>
      </c>
      <c r="K153" s="0">
        <f>IFERROR(IF(INDEX(lookup!$G:$G,MATCH($C153,lookup!$D:$D,0))="LEAP","LEAP MONTH - counts as month "&amp;$I153&amp;", flagged for review",""),"")</f>
        <v/>
      </c>
    </row>
    <row r="154">
      <c r="A154" s="12">
        <f>A153+1</f>
        <v/>
      </c>
      <c r="B154" s="0">
        <f>TEXT(A154,"ddd")</f>
        <v/>
      </c>
      <c r="C154" s="0">
        <f>IFERROR(INDEX(lunar_ref!$B:$B,MATCH($A154,lunar_ref!$A:$A,0)),"")</f>
        <v/>
      </c>
      <c r="D154" s="0">
        <f>IFERROR(INDEX(lunar_ref!$C:$C,MATCH($A154,lunar_ref!$A:$A,0)),"")</f>
        <v/>
      </c>
      <c r="E154" s="0">
        <f>_xlfn.XLOOKUP($D154,lookup!$A:$A,lookup!$B:$B)</f>
        <v/>
      </c>
      <c r="F154" s="0">
        <f>IF($E154=1,"New",IF($E154=15,"Full",""))</f>
        <v/>
      </c>
      <c r="H154" s="0">
        <f>IF($E154="","",IF(OR($E154=8,$E154=14,$E154=15,$E154=23,$E155=1,$E156=1),"Fast day",""))</f>
        <v/>
      </c>
      <c r="I154" s="0">
        <f>IFERROR(INDEX(lookup!$E:$E,MATCH($C154,lookup!$D:$D,0)),"")</f>
        <v/>
      </c>
      <c r="J154" s="0">
        <f>IF($I154="","",IF(OR($I154=1,$I154=5,$I154=9),IF($K154="","Long fast month","Long fast month (LEAP)"),""))</f>
        <v/>
      </c>
      <c r="K154" s="0">
        <f>IFERROR(IF(INDEX(lookup!$G:$G,MATCH($C154,lookup!$D:$D,0))="LEAP","LEAP MONTH - counts as month "&amp;$I154&amp;", flagged for review",""),"")</f>
        <v/>
      </c>
    </row>
    <row r="155">
      <c r="A155" s="12">
        <f>A154+1</f>
        <v/>
      </c>
      <c r="B155" s="0">
        <f>TEXT(A155,"ddd")</f>
        <v/>
      </c>
      <c r="C155" s="0">
        <f>IFERROR(INDEX(lunar_ref!$B:$B,MATCH($A155,lunar_ref!$A:$A,0)),"")</f>
        <v/>
      </c>
      <c r="D155" s="0">
        <f>IFERROR(INDEX(lunar_ref!$C:$C,MATCH($A155,lunar_ref!$A:$A,0)),"")</f>
        <v/>
      </c>
      <c r="E155" s="0">
        <f>_xlfn.XLOOKUP($D155,lookup!$A:$A,lookup!$B:$B)</f>
        <v/>
      </c>
      <c r="F155" s="0">
        <f>IF($E155=1,"New",IF($E155=15,"Full",""))</f>
        <v/>
      </c>
      <c r="H155" s="0">
        <f>IF($E155="","",IF(OR($E155=8,$E155=14,$E155=15,$E155=23,$E156=1,$E157=1),"Fast day",""))</f>
        <v/>
      </c>
      <c r="I155" s="0">
        <f>IFERROR(INDEX(lookup!$E:$E,MATCH($C155,lookup!$D:$D,0)),"")</f>
        <v/>
      </c>
      <c r="J155" s="0">
        <f>IF($I155="","",IF(OR($I155=1,$I155=5,$I155=9),IF($K155="","Long fast month","Long fast month (LEAP)"),""))</f>
        <v/>
      </c>
      <c r="K155" s="0">
        <f>IFERROR(IF(INDEX(lookup!$G:$G,MATCH($C155,lookup!$D:$D,0))="LEAP","LEAP MONTH - counts as month "&amp;$I155&amp;", flagged for review",""),"")</f>
        <v/>
      </c>
    </row>
    <row r="156">
      <c r="A156" s="12">
        <f>A155+1</f>
        <v/>
      </c>
      <c r="B156" s="0">
        <f>TEXT(A156,"ddd")</f>
        <v/>
      </c>
      <c r="C156" s="0">
        <f>IFERROR(INDEX(lunar_ref!$B:$B,MATCH($A156,lunar_ref!$A:$A,0)),"")</f>
        <v/>
      </c>
      <c r="D156" s="0">
        <f>IFERROR(INDEX(lunar_ref!$C:$C,MATCH($A156,lunar_ref!$A:$A,0)),"")</f>
        <v/>
      </c>
      <c r="E156" s="0">
        <f>_xlfn.XLOOKUP($D156,lookup!$A:$A,lookup!$B:$B)</f>
        <v/>
      </c>
      <c r="F156" s="0">
        <f>IF($E156=1,"New",IF($E156=15,"Full",""))</f>
        <v/>
      </c>
      <c r="H156" s="0">
        <f>IF($E156="","",IF(OR($E156=8,$E156=14,$E156=15,$E156=23,$E157=1,$E158=1),"Fast day",""))</f>
        <v/>
      </c>
      <c r="I156" s="0">
        <f>IFERROR(INDEX(lookup!$E:$E,MATCH($C156,lookup!$D:$D,0)),"")</f>
        <v/>
      </c>
      <c r="J156" s="0">
        <f>IF($I156="","",IF(OR($I156=1,$I156=5,$I156=9),IF($K156="","Long fast month","Long fast month (LEAP)"),""))</f>
        <v/>
      </c>
      <c r="K156" s="0">
        <f>IFERROR(IF(INDEX(lookup!$G:$G,MATCH($C156,lookup!$D:$D,0))="LEAP","LEAP MONTH - counts as month "&amp;$I156&amp;", flagged for review",""),"")</f>
        <v/>
      </c>
    </row>
    <row r="157">
      <c r="A157" s="12">
        <f>A156+1</f>
        <v/>
      </c>
      <c r="B157" s="0">
        <f>TEXT(A157,"ddd")</f>
        <v/>
      </c>
      <c r="C157" s="0">
        <f>IFERROR(INDEX(lunar_ref!$B:$B,MATCH($A157,lunar_ref!$A:$A,0)),"")</f>
        <v/>
      </c>
      <c r="D157" s="0">
        <f>IFERROR(INDEX(lunar_ref!$C:$C,MATCH($A157,lunar_ref!$A:$A,0)),"")</f>
        <v/>
      </c>
      <c r="E157" s="0">
        <f>_xlfn.XLOOKUP($D157,lookup!$A:$A,lookup!$B:$B)</f>
        <v/>
      </c>
      <c r="F157" s="0">
        <f>IF($E157=1,"New",IF($E157=15,"Full",""))</f>
        <v/>
      </c>
      <c r="H157" s="0">
        <f>IF($E157="","",IF(OR($E157=8,$E157=14,$E157=15,$E157=23,$E158=1,$E159=1),"Fast day",""))</f>
        <v/>
      </c>
      <c r="I157" s="0">
        <f>IFERROR(INDEX(lookup!$E:$E,MATCH($C157,lookup!$D:$D,0)),"")</f>
        <v/>
      </c>
      <c r="J157" s="0">
        <f>IF($I157="","",IF(OR($I157=1,$I157=5,$I157=9),IF($K157="","Long fast month","Long fast month (LEAP)"),""))</f>
        <v/>
      </c>
      <c r="K157" s="0">
        <f>IFERROR(IF(INDEX(lookup!$G:$G,MATCH($C157,lookup!$D:$D,0))="LEAP","LEAP MONTH - counts as month "&amp;$I157&amp;", flagged for review",""),"")</f>
        <v/>
      </c>
    </row>
    <row r="158">
      <c r="A158" s="12">
        <f>A157+1</f>
        <v/>
      </c>
      <c r="B158" s="0">
        <f>TEXT(A158,"ddd")</f>
        <v/>
      </c>
      <c r="C158" s="0">
        <f>IFERROR(INDEX(lunar_ref!$B:$B,MATCH($A158,lunar_ref!$A:$A,0)),"")</f>
        <v/>
      </c>
      <c r="D158" s="0">
        <f>IFERROR(INDEX(lunar_ref!$C:$C,MATCH($A158,lunar_ref!$A:$A,0)),"")</f>
        <v/>
      </c>
      <c r="E158" s="0">
        <f>_xlfn.XLOOKUP($D158,lookup!$A:$A,lookup!$B:$B)</f>
        <v/>
      </c>
      <c r="F158" s="0">
        <f>IF($E158=1,"New",IF($E158=15,"Full",""))</f>
        <v/>
      </c>
      <c r="H158" s="0">
        <f>IF($E158="","",IF(OR($E158=8,$E158=14,$E158=15,$E158=23,$E159=1,$E160=1),"Fast day",""))</f>
        <v/>
      </c>
      <c r="I158" s="0">
        <f>IFERROR(INDEX(lookup!$E:$E,MATCH($C158,lookup!$D:$D,0)),"")</f>
        <v/>
      </c>
      <c r="J158" s="0">
        <f>IF($I158="","",IF(OR($I158=1,$I158=5,$I158=9),IF($K158="","Long fast month","Long fast month (LEAP)"),""))</f>
        <v/>
      </c>
      <c r="K158" s="0">
        <f>IFERROR(IF(INDEX(lookup!$G:$G,MATCH($C158,lookup!$D:$D,0))="LEAP","LEAP MONTH - counts as month "&amp;$I158&amp;", flagged for review",""),"")</f>
        <v/>
      </c>
    </row>
    <row r="159">
      <c r="A159" s="12">
        <f>A158+1</f>
        <v/>
      </c>
      <c r="B159" s="0">
        <f>TEXT(A159,"ddd")</f>
        <v/>
      </c>
      <c r="C159" s="0">
        <f>IFERROR(INDEX(lunar_ref!$B:$B,MATCH($A159,lunar_ref!$A:$A,0)),"")</f>
        <v/>
      </c>
      <c r="D159" s="0">
        <f>IFERROR(INDEX(lunar_ref!$C:$C,MATCH($A159,lunar_ref!$A:$A,0)),"")</f>
        <v/>
      </c>
      <c r="E159" s="0">
        <f>_xlfn.XLOOKUP($D159,lookup!$A:$A,lookup!$B:$B)</f>
        <v/>
      </c>
      <c r="F159" s="0">
        <f>IF($E159=1,"New",IF($E159=15,"Full",""))</f>
        <v/>
      </c>
      <c r="H159" s="0">
        <f>IF($E159="","",IF(OR($E159=8,$E159=14,$E159=15,$E159=23,$E160=1,$E161=1),"Fast day",""))</f>
        <v/>
      </c>
      <c r="I159" s="0">
        <f>IFERROR(INDEX(lookup!$E:$E,MATCH($C159,lookup!$D:$D,0)),"")</f>
        <v/>
      </c>
      <c r="J159" s="0">
        <f>IF($I159="","",IF(OR($I159=1,$I159=5,$I159=9),IF($K159="","Long fast month","Long fast month (LEAP)"),""))</f>
        <v/>
      </c>
      <c r="K159" s="0">
        <f>IFERROR(IF(INDEX(lookup!$G:$G,MATCH($C159,lookup!$D:$D,0))="LEAP","LEAP MONTH - counts as month "&amp;$I159&amp;", flagged for review",""),"")</f>
        <v/>
      </c>
    </row>
    <row r="160">
      <c r="A160" s="12">
        <f>A159+1</f>
        <v/>
      </c>
      <c r="B160" s="0">
        <f>TEXT(A160,"ddd")</f>
        <v/>
      </c>
      <c r="C160" s="0">
        <f>IFERROR(INDEX(lunar_ref!$B:$B,MATCH($A160,lunar_ref!$A:$A,0)),"")</f>
        <v/>
      </c>
      <c r="D160" s="0">
        <f>IFERROR(INDEX(lunar_ref!$C:$C,MATCH($A160,lunar_ref!$A:$A,0)),"")</f>
        <v/>
      </c>
      <c r="E160" s="0">
        <f>_xlfn.XLOOKUP($D160,lookup!$A:$A,lookup!$B:$B)</f>
        <v/>
      </c>
      <c r="F160" s="0">
        <f>IF($E160=1,"New",IF($E160=15,"Full",""))</f>
        <v/>
      </c>
      <c r="H160" s="0">
        <f>IF($E160="","",IF(OR($E160=8,$E160=14,$E160=15,$E160=23,$E161=1,$E162=1),"Fast day",""))</f>
        <v/>
      </c>
      <c r="I160" s="0">
        <f>IFERROR(INDEX(lookup!$E:$E,MATCH($C160,lookup!$D:$D,0)),"")</f>
        <v/>
      </c>
      <c r="J160" s="0">
        <f>IF($I160="","",IF(OR($I160=1,$I160=5,$I160=9),IF($K160="","Long fast month","Long fast month (LEAP)"),""))</f>
        <v/>
      </c>
      <c r="K160" s="0">
        <f>IFERROR(IF(INDEX(lookup!$G:$G,MATCH($C160,lookup!$D:$D,0))="LEAP","LEAP MONTH - counts as month "&amp;$I160&amp;", flagged for review",""),"")</f>
        <v/>
      </c>
    </row>
    <row r="161">
      <c r="A161" s="12">
        <f>A160+1</f>
        <v/>
      </c>
      <c r="B161" s="0">
        <f>TEXT(A161,"ddd")</f>
        <v/>
      </c>
      <c r="C161" s="0">
        <f>IFERROR(INDEX(lunar_ref!$B:$B,MATCH($A161,lunar_ref!$A:$A,0)),"")</f>
        <v/>
      </c>
      <c r="D161" s="0">
        <f>IFERROR(INDEX(lunar_ref!$C:$C,MATCH($A161,lunar_ref!$A:$A,0)),"")</f>
        <v/>
      </c>
      <c r="E161" s="0">
        <f>_xlfn.XLOOKUP($D161,lookup!$A:$A,lookup!$B:$B)</f>
        <v/>
      </c>
      <c r="F161" s="0">
        <f>IF($E161=1,"New",IF($E161=15,"Full",""))</f>
        <v/>
      </c>
      <c r="H161" s="0">
        <f>IF($E161="","",IF(OR($E161=8,$E161=14,$E161=15,$E161=23,$E162=1,$E163=1),"Fast day",""))</f>
        <v/>
      </c>
      <c r="I161" s="0">
        <f>IFERROR(INDEX(lookup!$E:$E,MATCH($C161,lookup!$D:$D,0)),"")</f>
        <v/>
      </c>
      <c r="J161" s="0">
        <f>IF($I161="","",IF(OR($I161=1,$I161=5,$I161=9),IF($K161="","Long fast month","Long fast month (LEAP)"),""))</f>
        <v/>
      </c>
      <c r="K161" s="0">
        <f>IFERROR(IF(INDEX(lookup!$G:$G,MATCH($C161,lookup!$D:$D,0))="LEAP","LEAP MONTH - counts as month "&amp;$I161&amp;", flagged for review",""),"")</f>
        <v/>
      </c>
    </row>
    <row r="162">
      <c r="A162" s="12">
        <f>A161+1</f>
        <v/>
      </c>
      <c r="B162" s="0">
        <f>TEXT(A162,"ddd")</f>
        <v/>
      </c>
      <c r="C162" s="0">
        <f>IFERROR(INDEX(lunar_ref!$B:$B,MATCH($A162,lunar_ref!$A:$A,0)),"")</f>
        <v/>
      </c>
      <c r="D162" s="0">
        <f>IFERROR(INDEX(lunar_ref!$C:$C,MATCH($A162,lunar_ref!$A:$A,0)),"")</f>
        <v/>
      </c>
      <c r="E162" s="0">
        <f>_xlfn.XLOOKUP($D162,lookup!$A:$A,lookup!$B:$B)</f>
        <v/>
      </c>
      <c r="F162" s="0">
        <f>IF($E162=1,"New",IF($E162=15,"Full",""))</f>
        <v/>
      </c>
      <c r="H162" s="0">
        <f>IF($E162="","",IF(OR($E162=8,$E162=14,$E162=15,$E162=23,$E163=1,$E164=1),"Fast day",""))</f>
        <v/>
      </c>
      <c r="I162" s="0">
        <f>IFERROR(INDEX(lookup!$E:$E,MATCH($C162,lookup!$D:$D,0)),"")</f>
        <v/>
      </c>
      <c r="J162" s="0">
        <f>IF($I162="","",IF(OR($I162=1,$I162=5,$I162=9),IF($K162="","Long fast month","Long fast month (LEAP)"),""))</f>
        <v/>
      </c>
      <c r="K162" s="0">
        <f>IFERROR(IF(INDEX(lookup!$G:$G,MATCH($C162,lookup!$D:$D,0))="LEAP","LEAP MONTH - counts as month "&amp;$I162&amp;", flagged for review",""),"")</f>
        <v/>
      </c>
    </row>
    <row r="163">
      <c r="A163" s="12">
        <f>A162+1</f>
        <v/>
      </c>
      <c r="B163" s="0">
        <f>TEXT(A163,"ddd")</f>
        <v/>
      </c>
      <c r="C163" s="0">
        <f>IFERROR(INDEX(lunar_ref!$B:$B,MATCH($A163,lunar_ref!$A:$A,0)),"")</f>
        <v/>
      </c>
      <c r="D163" s="0">
        <f>IFERROR(INDEX(lunar_ref!$C:$C,MATCH($A163,lunar_ref!$A:$A,0)),"")</f>
        <v/>
      </c>
      <c r="E163" s="0">
        <f>_xlfn.XLOOKUP($D163,lookup!$A:$A,lookup!$B:$B)</f>
        <v/>
      </c>
      <c r="F163" s="0">
        <f>IF($E163=1,"New",IF($E163=15,"Full",""))</f>
        <v/>
      </c>
      <c r="H163" s="0">
        <f>IF($E163="","",IF(OR($E163=8,$E163=14,$E163=15,$E163=23,$E164=1,$E165=1),"Fast day",""))</f>
        <v/>
      </c>
      <c r="I163" s="0">
        <f>IFERROR(INDEX(lookup!$E:$E,MATCH($C163,lookup!$D:$D,0)),"")</f>
        <v/>
      </c>
      <c r="J163" s="0">
        <f>IF($I163="","",IF(OR($I163=1,$I163=5,$I163=9),IF($K163="","Long fast month","Long fast month (LEAP)"),""))</f>
        <v/>
      </c>
      <c r="K163" s="0">
        <f>IFERROR(IF(INDEX(lookup!$G:$G,MATCH($C163,lookup!$D:$D,0))="LEAP","LEAP MONTH - counts as month "&amp;$I163&amp;", flagged for review",""),"")</f>
        <v/>
      </c>
    </row>
    <row r="164">
      <c r="A164" s="12">
        <f>A163+1</f>
        <v/>
      </c>
      <c r="B164" s="0">
        <f>TEXT(A164,"ddd")</f>
        <v/>
      </c>
      <c r="C164" s="0">
        <f>IFERROR(INDEX(lunar_ref!$B:$B,MATCH($A164,lunar_ref!$A:$A,0)),"")</f>
        <v/>
      </c>
      <c r="D164" s="0">
        <f>IFERROR(INDEX(lunar_ref!$C:$C,MATCH($A164,lunar_ref!$A:$A,0)),"")</f>
        <v/>
      </c>
      <c r="E164" s="0">
        <f>_xlfn.XLOOKUP($D164,lookup!$A:$A,lookup!$B:$B)</f>
        <v/>
      </c>
      <c r="F164" s="0">
        <f>IF($E164=1,"New",IF($E164=15,"Full",""))</f>
        <v/>
      </c>
      <c r="H164" s="0">
        <f>IF($E164="","",IF(OR($E164=8,$E164=14,$E164=15,$E164=23,$E165=1,$E166=1),"Fast day",""))</f>
        <v/>
      </c>
      <c r="I164" s="0">
        <f>IFERROR(INDEX(lookup!$E:$E,MATCH($C164,lookup!$D:$D,0)),"")</f>
        <v/>
      </c>
      <c r="J164" s="0">
        <f>IF($I164="","",IF(OR($I164=1,$I164=5,$I164=9),IF($K164="","Long fast month","Long fast month (LEAP)"),""))</f>
        <v/>
      </c>
      <c r="K164" s="0">
        <f>IFERROR(IF(INDEX(lookup!$G:$G,MATCH($C164,lookup!$D:$D,0))="LEAP","LEAP MONTH - counts as month "&amp;$I164&amp;", flagged for review",""),"")</f>
        <v/>
      </c>
    </row>
    <row r="165">
      <c r="A165" s="12">
        <f>A164+1</f>
        <v/>
      </c>
      <c r="B165" s="0">
        <f>TEXT(A165,"ddd")</f>
        <v/>
      </c>
      <c r="C165" s="0">
        <f>IFERROR(INDEX(lunar_ref!$B:$B,MATCH($A165,lunar_ref!$A:$A,0)),"")</f>
        <v/>
      </c>
      <c r="D165" s="0">
        <f>IFERROR(INDEX(lunar_ref!$C:$C,MATCH($A165,lunar_ref!$A:$A,0)),"")</f>
        <v/>
      </c>
      <c r="E165" s="0">
        <f>_xlfn.XLOOKUP($D165,lookup!$A:$A,lookup!$B:$B)</f>
        <v/>
      </c>
      <c r="F165" s="0">
        <f>IF($E165=1,"New",IF($E165=15,"Full",""))</f>
        <v/>
      </c>
      <c r="H165" s="0">
        <f>IF($E165="","",IF(OR($E165=8,$E165=14,$E165=15,$E165=23,$E166=1,$E167=1),"Fast day",""))</f>
        <v/>
      </c>
      <c r="I165" s="0">
        <f>IFERROR(INDEX(lookup!$E:$E,MATCH($C165,lookup!$D:$D,0)),"")</f>
        <v/>
      </c>
      <c r="J165" s="0">
        <f>IF($I165="","",IF(OR($I165=1,$I165=5,$I165=9),IF($K165="","Long fast month","Long fast month (LEAP)"),""))</f>
        <v/>
      </c>
      <c r="K165" s="0">
        <f>IFERROR(IF(INDEX(lookup!$G:$G,MATCH($C165,lookup!$D:$D,0))="LEAP","LEAP MONTH - counts as month "&amp;$I165&amp;", flagged for review",""),"")</f>
        <v/>
      </c>
    </row>
    <row r="166">
      <c r="A166" s="12">
        <f>A165+1</f>
        <v/>
      </c>
      <c r="B166" s="0">
        <f>TEXT(A166,"ddd")</f>
        <v/>
      </c>
      <c r="C166" s="0">
        <f>IFERROR(INDEX(lunar_ref!$B:$B,MATCH($A166,lunar_ref!$A:$A,0)),"")</f>
        <v/>
      </c>
      <c r="D166" s="0">
        <f>IFERROR(INDEX(lunar_ref!$C:$C,MATCH($A166,lunar_ref!$A:$A,0)),"")</f>
        <v/>
      </c>
      <c r="E166" s="0">
        <f>_xlfn.XLOOKUP($D166,lookup!$A:$A,lookup!$B:$B)</f>
        <v/>
      </c>
      <c r="F166" s="0">
        <f>IF($E166=1,"New",IF($E166=15,"Full",""))</f>
        <v/>
      </c>
      <c r="H166" s="0">
        <f>IF($E166="","",IF(OR($E166=8,$E166=14,$E166=15,$E166=23,$E167=1,$E168=1),"Fast day",""))</f>
        <v/>
      </c>
      <c r="I166" s="0">
        <f>IFERROR(INDEX(lookup!$E:$E,MATCH($C166,lookup!$D:$D,0)),"")</f>
        <v/>
      </c>
      <c r="J166" s="0">
        <f>IF($I166="","",IF(OR($I166=1,$I166=5,$I166=9),IF($K166="","Long fast month","Long fast month (LEAP)"),""))</f>
        <v/>
      </c>
      <c r="K166" s="0">
        <f>IFERROR(IF(INDEX(lookup!$G:$G,MATCH($C166,lookup!$D:$D,0))="LEAP","LEAP MONTH - counts as month "&amp;$I166&amp;", flagged for review",""),"")</f>
        <v/>
      </c>
    </row>
    <row r="167">
      <c r="A167" s="12">
        <f>A166+1</f>
        <v/>
      </c>
      <c r="B167" s="0">
        <f>TEXT(A167,"ddd")</f>
        <v/>
      </c>
      <c r="C167" s="0">
        <f>IFERROR(INDEX(lunar_ref!$B:$B,MATCH($A167,lunar_ref!$A:$A,0)),"")</f>
        <v/>
      </c>
      <c r="D167" s="0">
        <f>IFERROR(INDEX(lunar_ref!$C:$C,MATCH($A167,lunar_ref!$A:$A,0)),"")</f>
        <v/>
      </c>
      <c r="E167" s="0">
        <f>_xlfn.XLOOKUP($D167,lookup!$A:$A,lookup!$B:$B)</f>
        <v/>
      </c>
      <c r="F167" s="0">
        <f>IF($E167=1,"New",IF($E167=15,"Full",""))</f>
        <v/>
      </c>
      <c r="H167" s="0">
        <f>IF($E167="","",IF(OR($E167=8,$E167=14,$E167=15,$E167=23,$E168=1,$E169=1),"Fast day",""))</f>
        <v/>
      </c>
      <c r="I167" s="0">
        <f>IFERROR(INDEX(lookup!$E:$E,MATCH($C167,lookup!$D:$D,0)),"")</f>
        <v/>
      </c>
      <c r="J167" s="0">
        <f>IF($I167="","",IF(OR($I167=1,$I167=5,$I167=9),IF($K167="","Long fast month","Long fast month (LEAP)"),""))</f>
        <v/>
      </c>
      <c r="K167" s="0">
        <f>IFERROR(IF(INDEX(lookup!$G:$G,MATCH($C167,lookup!$D:$D,0))="LEAP","LEAP MONTH - counts as month "&amp;$I167&amp;", flagged for review",""),"")</f>
        <v/>
      </c>
    </row>
    <row r="168">
      <c r="A168" s="12">
        <f>A167+1</f>
        <v/>
      </c>
      <c r="B168" s="0">
        <f>TEXT(A168,"ddd")</f>
        <v/>
      </c>
      <c r="C168" s="0">
        <f>IFERROR(INDEX(lunar_ref!$B:$B,MATCH($A168,lunar_ref!$A:$A,0)),"")</f>
        <v/>
      </c>
      <c r="D168" s="0">
        <f>IFERROR(INDEX(lunar_ref!$C:$C,MATCH($A168,lunar_ref!$A:$A,0)),"")</f>
        <v/>
      </c>
      <c r="E168" s="0">
        <f>_xlfn.XLOOKUP($D168,lookup!$A:$A,lookup!$B:$B)</f>
        <v/>
      </c>
      <c r="F168" s="0">
        <f>IF($E168=1,"New",IF($E168=15,"Full",""))</f>
        <v/>
      </c>
      <c r="H168" s="0">
        <f>IF($E168="","",IF(OR($E168=8,$E168=14,$E168=15,$E168=23,$E169=1,$E170=1),"Fast day",""))</f>
        <v/>
      </c>
      <c r="I168" s="0">
        <f>IFERROR(INDEX(lookup!$E:$E,MATCH($C168,lookup!$D:$D,0)),"")</f>
        <v/>
      </c>
      <c r="J168" s="0">
        <f>IF($I168="","",IF(OR($I168=1,$I168=5,$I168=9),IF($K168="","Long fast month","Long fast month (LEAP)"),""))</f>
        <v/>
      </c>
      <c r="K168" s="0">
        <f>IFERROR(IF(INDEX(lookup!$G:$G,MATCH($C168,lookup!$D:$D,0))="LEAP","LEAP MONTH - counts as month "&amp;$I168&amp;", flagged for review",""),"")</f>
        <v/>
      </c>
    </row>
    <row r="169">
      <c r="A169" s="12">
        <f>A168+1</f>
        <v/>
      </c>
      <c r="B169" s="0">
        <f>TEXT(A169,"ddd")</f>
        <v/>
      </c>
      <c r="C169" s="0">
        <f>IFERROR(INDEX(lunar_ref!$B:$B,MATCH($A169,lunar_ref!$A:$A,0)),"")</f>
        <v/>
      </c>
      <c r="D169" s="0">
        <f>IFERROR(INDEX(lunar_ref!$C:$C,MATCH($A169,lunar_ref!$A:$A,0)),"")</f>
        <v/>
      </c>
      <c r="E169" s="0">
        <f>_xlfn.XLOOKUP($D169,lookup!$A:$A,lookup!$B:$B)</f>
        <v/>
      </c>
      <c r="F169" s="0">
        <f>IF($E169=1,"New",IF($E169=15,"Full",""))</f>
        <v/>
      </c>
      <c r="H169" s="0">
        <f>IF($E169="","",IF(OR($E169=8,$E169=14,$E169=15,$E169=23,$E170=1,$E171=1),"Fast day",""))</f>
        <v/>
      </c>
      <c r="I169" s="0">
        <f>IFERROR(INDEX(lookup!$E:$E,MATCH($C169,lookup!$D:$D,0)),"")</f>
        <v/>
      </c>
      <c r="J169" s="0">
        <f>IF($I169="","",IF(OR($I169=1,$I169=5,$I169=9),IF($K169="","Long fast month","Long fast month (LEAP)"),""))</f>
        <v/>
      </c>
      <c r="K169" s="0">
        <f>IFERROR(IF(INDEX(lookup!$G:$G,MATCH($C169,lookup!$D:$D,0))="LEAP","LEAP MONTH - counts as month "&amp;$I169&amp;", flagged for review",""),"")</f>
        <v/>
      </c>
    </row>
    <row r="170">
      <c r="A170" s="12">
        <f>A169+1</f>
        <v/>
      </c>
      <c r="B170" s="0">
        <f>TEXT(A170,"ddd")</f>
        <v/>
      </c>
      <c r="C170" s="0">
        <f>IFERROR(INDEX(lunar_ref!$B:$B,MATCH($A170,lunar_ref!$A:$A,0)),"")</f>
        <v/>
      </c>
      <c r="D170" s="0">
        <f>IFERROR(INDEX(lunar_ref!$C:$C,MATCH($A170,lunar_ref!$A:$A,0)),"")</f>
        <v/>
      </c>
      <c r="E170" s="0">
        <f>_xlfn.XLOOKUP($D170,lookup!$A:$A,lookup!$B:$B)</f>
        <v/>
      </c>
      <c r="F170" s="0">
        <f>IF($E170=1,"New",IF($E170=15,"Full",""))</f>
        <v/>
      </c>
      <c r="H170" s="0">
        <f>IF($E170="","",IF(OR($E170=8,$E170=14,$E170=15,$E170=23,$E171=1,$E172=1),"Fast day",""))</f>
        <v/>
      </c>
      <c r="I170" s="0">
        <f>IFERROR(INDEX(lookup!$E:$E,MATCH($C170,lookup!$D:$D,0)),"")</f>
        <v/>
      </c>
      <c r="J170" s="0">
        <f>IF($I170="","",IF(OR($I170=1,$I170=5,$I170=9),IF($K170="","Long fast month","Long fast month (LEAP)"),""))</f>
        <v/>
      </c>
      <c r="K170" s="0">
        <f>IFERROR(IF(INDEX(lookup!$G:$G,MATCH($C170,lookup!$D:$D,0))="LEAP","LEAP MONTH - counts as month "&amp;$I170&amp;", flagged for review",""),"")</f>
        <v/>
      </c>
    </row>
    <row r="171">
      <c r="A171" s="12">
        <f>A170+1</f>
        <v/>
      </c>
      <c r="B171" s="0">
        <f>TEXT(A171,"ddd")</f>
        <v/>
      </c>
      <c r="C171" s="0">
        <f>IFERROR(INDEX(lunar_ref!$B:$B,MATCH($A171,lunar_ref!$A:$A,0)),"")</f>
        <v/>
      </c>
      <c r="D171" s="0">
        <f>IFERROR(INDEX(lunar_ref!$C:$C,MATCH($A171,lunar_ref!$A:$A,0)),"")</f>
        <v/>
      </c>
      <c r="E171" s="0">
        <f>_xlfn.XLOOKUP($D171,lookup!$A:$A,lookup!$B:$B)</f>
        <v/>
      </c>
      <c r="F171" s="0">
        <f>IF($E171=1,"New",IF($E171=15,"Full",""))</f>
        <v/>
      </c>
      <c r="H171" s="0">
        <f>IF($E171="","",IF(OR($E171=8,$E171=14,$E171=15,$E171=23,$E172=1,$E173=1),"Fast day",""))</f>
        <v/>
      </c>
      <c r="I171" s="0">
        <f>IFERROR(INDEX(lookup!$E:$E,MATCH($C171,lookup!$D:$D,0)),"")</f>
        <v/>
      </c>
      <c r="J171" s="0">
        <f>IF($I171="","",IF(OR($I171=1,$I171=5,$I171=9),IF($K171="","Long fast month","Long fast month (LEAP)"),""))</f>
        <v/>
      </c>
      <c r="K171" s="0">
        <f>IFERROR(IF(INDEX(lookup!$G:$G,MATCH($C171,lookup!$D:$D,0))="LEAP","LEAP MONTH - counts as month "&amp;$I171&amp;", flagged for review",""),"")</f>
        <v/>
      </c>
    </row>
    <row r="172">
      <c r="A172" s="12">
        <f>A171+1</f>
        <v/>
      </c>
      <c r="B172" s="0">
        <f>TEXT(A172,"ddd")</f>
        <v/>
      </c>
      <c r="C172" s="0">
        <f>IFERROR(INDEX(lunar_ref!$B:$B,MATCH($A172,lunar_ref!$A:$A,0)),"")</f>
        <v/>
      </c>
      <c r="D172" s="0">
        <f>IFERROR(INDEX(lunar_ref!$C:$C,MATCH($A172,lunar_ref!$A:$A,0)),"")</f>
        <v/>
      </c>
      <c r="E172" s="0">
        <f>_xlfn.XLOOKUP($D172,lookup!$A:$A,lookup!$B:$B)</f>
        <v/>
      </c>
      <c r="F172" s="0">
        <f>IF($E172=1,"New",IF($E172=15,"Full",""))</f>
        <v/>
      </c>
      <c r="H172" s="0">
        <f>IF($E172="","",IF(OR($E172=8,$E172=14,$E172=15,$E172=23,$E173=1,$E174=1),"Fast day",""))</f>
        <v/>
      </c>
      <c r="I172" s="0">
        <f>IFERROR(INDEX(lookup!$E:$E,MATCH($C172,lookup!$D:$D,0)),"")</f>
        <v/>
      </c>
      <c r="J172" s="0">
        <f>IF($I172="","",IF(OR($I172=1,$I172=5,$I172=9),IF($K172="","Long fast month","Long fast month (LEAP)"),""))</f>
        <v/>
      </c>
      <c r="K172" s="0">
        <f>IFERROR(IF(INDEX(lookup!$G:$G,MATCH($C172,lookup!$D:$D,0))="LEAP","LEAP MONTH - counts as month "&amp;$I172&amp;", flagged for review",""),"")</f>
        <v/>
      </c>
    </row>
    <row r="173">
      <c r="A173" s="12">
        <f>A172+1</f>
        <v/>
      </c>
      <c r="B173" s="0">
        <f>TEXT(A173,"ddd")</f>
        <v/>
      </c>
      <c r="C173" s="0">
        <f>IFERROR(INDEX(lunar_ref!$B:$B,MATCH($A173,lunar_ref!$A:$A,0)),"")</f>
        <v/>
      </c>
      <c r="D173" s="0">
        <f>IFERROR(INDEX(lunar_ref!$C:$C,MATCH($A173,lunar_ref!$A:$A,0)),"")</f>
        <v/>
      </c>
      <c r="E173" s="0">
        <f>_xlfn.XLOOKUP($D173,lookup!$A:$A,lookup!$B:$B)</f>
        <v/>
      </c>
      <c r="F173" s="0">
        <f>IF($E173=1,"New",IF($E173=15,"Full",""))</f>
        <v/>
      </c>
      <c r="H173" s="0">
        <f>IF($E173="","",IF(OR($E173=8,$E173=14,$E173=15,$E173=23,$E174=1,$E175=1),"Fast day",""))</f>
        <v/>
      </c>
      <c r="I173" s="0">
        <f>IFERROR(INDEX(lookup!$E:$E,MATCH($C173,lookup!$D:$D,0)),"")</f>
        <v/>
      </c>
      <c r="J173" s="0">
        <f>IF($I173="","",IF(OR($I173=1,$I173=5,$I173=9),IF($K173="","Long fast month","Long fast month (LEAP)"),""))</f>
        <v/>
      </c>
      <c r="K173" s="0">
        <f>IFERROR(IF(INDEX(lookup!$G:$G,MATCH($C173,lookup!$D:$D,0))="LEAP","LEAP MONTH - counts as month "&amp;$I173&amp;", flagged for review",""),"")</f>
        <v/>
      </c>
    </row>
    <row r="174">
      <c r="A174" s="12">
        <f>A173+1</f>
        <v/>
      </c>
      <c r="B174" s="0">
        <f>TEXT(A174,"ddd")</f>
        <v/>
      </c>
      <c r="C174" s="0">
        <f>IFERROR(INDEX(lunar_ref!$B:$B,MATCH($A174,lunar_ref!$A:$A,0)),"")</f>
        <v/>
      </c>
      <c r="D174" s="0">
        <f>IFERROR(INDEX(lunar_ref!$C:$C,MATCH($A174,lunar_ref!$A:$A,0)),"")</f>
        <v/>
      </c>
      <c r="E174" s="0">
        <f>_xlfn.XLOOKUP($D174,lookup!$A:$A,lookup!$B:$B)</f>
        <v/>
      </c>
      <c r="F174" s="0">
        <f>IF($E174=1,"New",IF($E174=15,"Full",""))</f>
        <v/>
      </c>
      <c r="H174" s="0">
        <f>IF($E174="","",IF(OR($E174=8,$E174=14,$E174=15,$E174=23,$E175=1,$E176=1),"Fast day",""))</f>
        <v/>
      </c>
      <c r="I174" s="0">
        <f>IFERROR(INDEX(lookup!$E:$E,MATCH($C174,lookup!$D:$D,0)),"")</f>
        <v/>
      </c>
      <c r="J174" s="0">
        <f>IF($I174="","",IF(OR($I174=1,$I174=5,$I174=9),IF($K174="","Long fast month","Long fast month (LEAP)"),""))</f>
        <v/>
      </c>
      <c r="K174" s="0">
        <f>IFERROR(IF(INDEX(lookup!$G:$G,MATCH($C174,lookup!$D:$D,0))="LEAP","LEAP MONTH - counts as month "&amp;$I174&amp;", flagged for review",""),"")</f>
        <v/>
      </c>
    </row>
    <row r="175">
      <c r="A175" s="12">
        <f>A174+1</f>
        <v/>
      </c>
      <c r="B175" s="0">
        <f>TEXT(A175,"ddd")</f>
        <v/>
      </c>
      <c r="C175" s="0">
        <f>IFERROR(INDEX(lunar_ref!$B:$B,MATCH($A175,lunar_ref!$A:$A,0)),"")</f>
        <v/>
      </c>
      <c r="D175" s="0">
        <f>IFERROR(INDEX(lunar_ref!$C:$C,MATCH($A175,lunar_ref!$A:$A,0)),"")</f>
        <v/>
      </c>
      <c r="E175" s="0">
        <f>_xlfn.XLOOKUP($D175,lookup!$A:$A,lookup!$B:$B)</f>
        <v/>
      </c>
      <c r="F175" s="0">
        <f>IF($E175=1,"New",IF($E175=15,"Full",""))</f>
        <v/>
      </c>
      <c r="H175" s="0">
        <f>IF($E175="","",IF(OR($E175=8,$E175=14,$E175=15,$E175=23,$E176=1,$E177=1),"Fast day",""))</f>
        <v/>
      </c>
      <c r="I175" s="0">
        <f>IFERROR(INDEX(lookup!$E:$E,MATCH($C175,lookup!$D:$D,0)),"")</f>
        <v/>
      </c>
      <c r="J175" s="0">
        <f>IF($I175="","",IF(OR($I175=1,$I175=5,$I175=9),IF($K175="","Long fast month","Long fast month (LEAP)"),""))</f>
        <v/>
      </c>
      <c r="K175" s="0">
        <f>IFERROR(IF(INDEX(lookup!$G:$G,MATCH($C175,lookup!$D:$D,0))="LEAP","LEAP MONTH - counts as month "&amp;$I175&amp;", flagged for review",""),"")</f>
        <v/>
      </c>
    </row>
    <row r="176">
      <c r="A176" s="12">
        <f>A175+1</f>
        <v/>
      </c>
      <c r="B176" s="0">
        <f>TEXT(A176,"ddd")</f>
        <v/>
      </c>
      <c r="C176" s="0">
        <f>IFERROR(INDEX(lunar_ref!$B:$B,MATCH($A176,lunar_ref!$A:$A,0)),"")</f>
        <v/>
      </c>
      <c r="D176" s="0">
        <f>IFERROR(INDEX(lunar_ref!$C:$C,MATCH($A176,lunar_ref!$A:$A,0)),"")</f>
        <v/>
      </c>
      <c r="E176" s="0">
        <f>_xlfn.XLOOKUP($D176,lookup!$A:$A,lookup!$B:$B)</f>
        <v/>
      </c>
      <c r="F176" s="0">
        <f>IF($E176=1,"New",IF($E176=15,"Full",""))</f>
        <v/>
      </c>
      <c r="H176" s="0">
        <f>IF($E176="","",IF(OR($E176=8,$E176=14,$E176=15,$E176=23,$E177=1,$E178=1),"Fast day",""))</f>
        <v/>
      </c>
      <c r="I176" s="0">
        <f>IFERROR(INDEX(lookup!$E:$E,MATCH($C176,lookup!$D:$D,0)),"")</f>
        <v/>
      </c>
      <c r="J176" s="0">
        <f>IF($I176="","",IF(OR($I176=1,$I176=5,$I176=9),IF($K176="","Long fast month","Long fast month (LEAP)"),""))</f>
        <v/>
      </c>
      <c r="K176" s="0">
        <f>IFERROR(IF(INDEX(lookup!$G:$G,MATCH($C176,lookup!$D:$D,0))="LEAP","LEAP MONTH - counts as month "&amp;$I176&amp;", flagged for review",""),"")</f>
        <v/>
      </c>
    </row>
    <row r="177">
      <c r="A177" s="12">
        <f>A176+1</f>
        <v/>
      </c>
      <c r="B177" s="0">
        <f>TEXT(A177,"ddd")</f>
        <v/>
      </c>
      <c r="C177" s="0">
        <f>IFERROR(INDEX(lunar_ref!$B:$B,MATCH($A177,lunar_ref!$A:$A,0)),"")</f>
        <v/>
      </c>
      <c r="D177" s="0">
        <f>IFERROR(INDEX(lunar_ref!$C:$C,MATCH($A177,lunar_ref!$A:$A,0)),"")</f>
        <v/>
      </c>
      <c r="E177" s="0">
        <f>_xlfn.XLOOKUP($D177,lookup!$A:$A,lookup!$B:$B)</f>
        <v/>
      </c>
      <c r="F177" s="0">
        <f>IF($E177=1,"New",IF($E177=15,"Full",""))</f>
        <v/>
      </c>
      <c r="H177" s="0">
        <f>IF($E177="","",IF(OR($E177=8,$E177=14,$E177=15,$E177=23,$E178=1,$E179=1),"Fast day",""))</f>
        <v/>
      </c>
      <c r="I177" s="0">
        <f>IFERROR(INDEX(lookup!$E:$E,MATCH($C177,lookup!$D:$D,0)),"")</f>
        <v/>
      </c>
      <c r="J177" s="0">
        <f>IF($I177="","",IF(OR($I177=1,$I177=5,$I177=9),IF($K177="","Long fast month","Long fast month (LEAP)"),""))</f>
        <v/>
      </c>
      <c r="K177" s="0">
        <f>IFERROR(IF(INDEX(lookup!$G:$G,MATCH($C177,lookup!$D:$D,0))="LEAP","LEAP MONTH - counts as month "&amp;$I177&amp;", flagged for review",""),"")</f>
        <v/>
      </c>
    </row>
    <row r="178">
      <c r="A178" s="12">
        <f>A177+1</f>
        <v/>
      </c>
      <c r="B178" s="0">
        <f>TEXT(A178,"ddd")</f>
        <v/>
      </c>
      <c r="C178" s="0">
        <f>IFERROR(INDEX(lunar_ref!$B:$B,MATCH($A178,lunar_ref!$A:$A,0)),"")</f>
        <v/>
      </c>
      <c r="D178" s="0">
        <f>IFERROR(INDEX(lunar_ref!$C:$C,MATCH($A178,lunar_ref!$A:$A,0)),"")</f>
        <v/>
      </c>
      <c r="E178" s="0">
        <f>_xlfn.XLOOKUP($D178,lookup!$A:$A,lookup!$B:$B)</f>
        <v/>
      </c>
      <c r="F178" s="0">
        <f>IF($E178=1,"New",IF($E178=15,"Full",""))</f>
        <v/>
      </c>
      <c r="H178" s="0">
        <f>IF($E178="","",IF(OR($E178=8,$E178=14,$E178=15,$E178=23,$E179=1,$E180=1),"Fast day",""))</f>
        <v/>
      </c>
      <c r="I178" s="0">
        <f>IFERROR(INDEX(lookup!$E:$E,MATCH($C178,lookup!$D:$D,0)),"")</f>
        <v/>
      </c>
      <c r="J178" s="0">
        <f>IF($I178="","",IF(OR($I178=1,$I178=5,$I178=9),IF($K178="","Long fast month","Long fast month (LEAP)"),""))</f>
        <v/>
      </c>
      <c r="K178" s="0">
        <f>IFERROR(IF(INDEX(lookup!$G:$G,MATCH($C178,lookup!$D:$D,0))="LEAP","LEAP MONTH - counts as month "&amp;$I178&amp;", flagged for review",""),"")</f>
        <v/>
      </c>
    </row>
    <row r="179">
      <c r="A179" s="12">
        <f>A178+1</f>
        <v/>
      </c>
      <c r="B179" s="0">
        <f>TEXT(A179,"ddd")</f>
        <v/>
      </c>
      <c r="C179" s="0">
        <f>IFERROR(INDEX(lunar_ref!$B:$B,MATCH($A179,lunar_ref!$A:$A,0)),"")</f>
        <v/>
      </c>
      <c r="D179" s="0">
        <f>IFERROR(INDEX(lunar_ref!$C:$C,MATCH($A179,lunar_ref!$A:$A,0)),"")</f>
        <v/>
      </c>
      <c r="E179" s="0">
        <f>_xlfn.XLOOKUP($D179,lookup!$A:$A,lookup!$B:$B)</f>
        <v/>
      </c>
      <c r="F179" s="0">
        <f>IF($E179=1,"New",IF($E179=15,"Full",""))</f>
        <v/>
      </c>
      <c r="H179" s="0">
        <f>IF($E179="","",IF(OR($E179=8,$E179=14,$E179=15,$E179=23,$E180=1,$E181=1),"Fast day",""))</f>
        <v/>
      </c>
      <c r="I179" s="0">
        <f>IFERROR(INDEX(lookup!$E:$E,MATCH($C179,lookup!$D:$D,0)),"")</f>
        <v/>
      </c>
      <c r="J179" s="0">
        <f>IF($I179="","",IF(OR($I179=1,$I179=5,$I179=9),IF($K179="","Long fast month","Long fast month (LEAP)"),""))</f>
        <v/>
      </c>
      <c r="K179" s="0">
        <f>IFERROR(IF(INDEX(lookup!$G:$G,MATCH($C179,lookup!$D:$D,0))="LEAP","LEAP MONTH - counts as month "&amp;$I179&amp;", flagged for review",""),"")</f>
        <v/>
      </c>
    </row>
    <row r="180">
      <c r="A180" s="12">
        <f>A179+1</f>
        <v/>
      </c>
      <c r="B180" s="0">
        <f>TEXT(A180,"ddd")</f>
        <v/>
      </c>
      <c r="C180" s="0">
        <f>IFERROR(INDEX(lunar_ref!$B:$B,MATCH($A180,lunar_ref!$A:$A,0)),"")</f>
        <v/>
      </c>
      <c r="D180" s="0">
        <f>IFERROR(INDEX(lunar_ref!$C:$C,MATCH($A180,lunar_ref!$A:$A,0)),"")</f>
        <v/>
      </c>
      <c r="E180" s="0">
        <f>_xlfn.XLOOKUP($D180,lookup!$A:$A,lookup!$B:$B)</f>
        <v/>
      </c>
      <c r="F180" s="0">
        <f>IF($E180=1,"New",IF($E180=15,"Full",""))</f>
        <v/>
      </c>
      <c r="H180" s="0">
        <f>IF($E180="","",IF(OR($E180=8,$E180=14,$E180=15,$E180=23,$E181=1,$E182=1),"Fast day",""))</f>
        <v/>
      </c>
      <c r="I180" s="0">
        <f>IFERROR(INDEX(lookup!$E:$E,MATCH($C180,lookup!$D:$D,0)),"")</f>
        <v/>
      </c>
      <c r="J180" s="0">
        <f>IF($I180="","",IF(OR($I180=1,$I180=5,$I180=9),IF($K180="","Long fast month","Long fast month (LEAP)"),""))</f>
        <v/>
      </c>
      <c r="K180" s="0">
        <f>IFERROR(IF(INDEX(lookup!$G:$G,MATCH($C180,lookup!$D:$D,0))="LEAP","LEAP MONTH - counts as month "&amp;$I180&amp;", flagged for review",""),"")</f>
        <v/>
      </c>
    </row>
    <row r="181">
      <c r="A181" s="12">
        <f>A180+1</f>
        <v/>
      </c>
      <c r="B181" s="0">
        <f>TEXT(A181,"ddd")</f>
        <v/>
      </c>
      <c r="C181" s="0">
        <f>IFERROR(INDEX(lunar_ref!$B:$B,MATCH($A181,lunar_ref!$A:$A,0)),"")</f>
        <v/>
      </c>
      <c r="D181" s="0">
        <f>IFERROR(INDEX(lunar_ref!$C:$C,MATCH($A181,lunar_ref!$A:$A,0)),"")</f>
        <v/>
      </c>
      <c r="E181" s="0">
        <f>_xlfn.XLOOKUP($D181,lookup!$A:$A,lookup!$B:$B)</f>
        <v/>
      </c>
      <c r="F181" s="0">
        <f>IF($E181=1,"New",IF($E181=15,"Full",""))</f>
        <v/>
      </c>
      <c r="H181" s="0">
        <f>IF($E181="","",IF(OR($E181=8,$E181=14,$E181=15,$E181=23,$E182=1,$E183=1),"Fast day",""))</f>
        <v/>
      </c>
      <c r="I181" s="0">
        <f>IFERROR(INDEX(lookup!$E:$E,MATCH($C181,lookup!$D:$D,0)),"")</f>
        <v/>
      </c>
      <c r="J181" s="0">
        <f>IF($I181="","",IF(OR($I181=1,$I181=5,$I181=9),IF($K181="","Long fast month","Long fast month (LEAP)"),""))</f>
        <v/>
      </c>
      <c r="K181" s="0">
        <f>IFERROR(IF(INDEX(lookup!$G:$G,MATCH($C181,lookup!$D:$D,0))="LEAP","LEAP MONTH - counts as month "&amp;$I181&amp;", flagged for review",""),"")</f>
        <v/>
      </c>
    </row>
    <row r="182">
      <c r="A182" s="12">
        <f>A181+1</f>
        <v/>
      </c>
      <c r="B182" s="0">
        <f>TEXT(A182,"ddd")</f>
        <v/>
      </c>
      <c r="C182" s="0">
        <f>IFERROR(INDEX(lunar_ref!$B:$B,MATCH($A182,lunar_ref!$A:$A,0)),"")</f>
        <v/>
      </c>
      <c r="D182" s="0">
        <f>IFERROR(INDEX(lunar_ref!$C:$C,MATCH($A182,lunar_ref!$A:$A,0)),"")</f>
        <v/>
      </c>
      <c r="E182" s="0">
        <f>_xlfn.XLOOKUP($D182,lookup!$A:$A,lookup!$B:$B)</f>
        <v/>
      </c>
      <c r="F182" s="0">
        <f>IF($E182=1,"New",IF($E182=15,"Full",""))</f>
        <v/>
      </c>
      <c r="H182" s="0">
        <f>IF($E182="","",IF(OR($E182=8,$E182=14,$E182=15,$E182=23,$E183=1,$E184=1),"Fast day",""))</f>
        <v/>
      </c>
      <c r="I182" s="0">
        <f>IFERROR(INDEX(lookup!$E:$E,MATCH($C182,lookup!$D:$D,0)),"")</f>
        <v/>
      </c>
      <c r="J182" s="0">
        <f>IF($I182="","",IF(OR($I182=1,$I182=5,$I182=9),IF($K182="","Long fast month","Long fast month (LEAP)"),""))</f>
        <v/>
      </c>
      <c r="K182" s="0">
        <f>IFERROR(IF(INDEX(lookup!$G:$G,MATCH($C182,lookup!$D:$D,0))="LEAP","LEAP MONTH - counts as month "&amp;$I182&amp;", flagged for review",""),"")</f>
        <v/>
      </c>
    </row>
    <row r="183">
      <c r="A183" s="12">
        <f>A182+1</f>
        <v/>
      </c>
      <c r="B183" s="0">
        <f>TEXT(A183,"ddd")</f>
        <v/>
      </c>
      <c r="C183" s="0">
        <f>IFERROR(INDEX(lunar_ref!$B:$B,MATCH($A183,lunar_ref!$A:$A,0)),"")</f>
        <v/>
      </c>
      <c r="D183" s="0">
        <f>IFERROR(INDEX(lunar_ref!$C:$C,MATCH($A183,lunar_ref!$A:$A,0)),"")</f>
        <v/>
      </c>
      <c r="E183" s="0">
        <f>_xlfn.XLOOKUP($D183,lookup!$A:$A,lookup!$B:$B)</f>
        <v/>
      </c>
      <c r="F183" s="0">
        <f>IF($E183=1,"New",IF($E183=15,"Full",""))</f>
        <v/>
      </c>
      <c r="H183" s="0">
        <f>IF($E183="","",IF(OR($E183=8,$E183=14,$E183=15,$E183=23,$E184=1,$E185=1),"Fast day",""))</f>
        <v/>
      </c>
      <c r="I183" s="0">
        <f>IFERROR(INDEX(lookup!$E:$E,MATCH($C183,lookup!$D:$D,0)),"")</f>
        <v/>
      </c>
      <c r="J183" s="0">
        <f>IF($I183="","",IF(OR($I183=1,$I183=5,$I183=9),IF($K183="","Long fast month","Long fast month (LEAP)"),""))</f>
        <v/>
      </c>
      <c r="K183" s="0">
        <f>IFERROR(IF(INDEX(lookup!$G:$G,MATCH($C183,lookup!$D:$D,0))="LEAP","LEAP MONTH - counts as month "&amp;$I183&amp;", flagged for review",""),"")</f>
        <v/>
      </c>
    </row>
    <row r="184">
      <c r="A184" s="12">
        <f>A183+1</f>
        <v/>
      </c>
      <c r="B184" s="0">
        <f>TEXT(A184,"ddd")</f>
        <v/>
      </c>
      <c r="C184" s="0">
        <f>IFERROR(INDEX(lunar_ref!$B:$B,MATCH($A184,lunar_ref!$A:$A,0)),"")</f>
        <v/>
      </c>
      <c r="D184" s="0">
        <f>IFERROR(INDEX(lunar_ref!$C:$C,MATCH($A184,lunar_ref!$A:$A,0)),"")</f>
        <v/>
      </c>
      <c r="E184" s="0">
        <f>_xlfn.XLOOKUP($D184,lookup!$A:$A,lookup!$B:$B)</f>
        <v/>
      </c>
      <c r="F184" s="0">
        <f>IF($E184=1,"New",IF($E184=15,"Full",""))</f>
        <v/>
      </c>
      <c r="H184" s="0">
        <f>IF($E184="","",IF(OR($E184=8,$E184=14,$E184=15,$E184=23,$E185=1,$E186=1),"Fast day",""))</f>
        <v/>
      </c>
      <c r="I184" s="0">
        <f>IFERROR(INDEX(lookup!$E:$E,MATCH($C184,lookup!$D:$D,0)),"")</f>
        <v/>
      </c>
      <c r="J184" s="0">
        <f>IF($I184="","",IF(OR($I184=1,$I184=5,$I184=9),IF($K184="","Long fast month","Long fast month (LEAP)"),""))</f>
        <v/>
      </c>
      <c r="K184" s="0">
        <f>IFERROR(IF(INDEX(lookup!$G:$G,MATCH($C184,lookup!$D:$D,0))="LEAP","LEAP MONTH - counts as month "&amp;$I184&amp;", flagged for review",""),"")</f>
        <v/>
      </c>
    </row>
    <row r="185">
      <c r="A185" s="12">
        <f>A184+1</f>
        <v/>
      </c>
      <c r="B185" s="0">
        <f>TEXT(A185,"ddd")</f>
        <v/>
      </c>
      <c r="C185" s="0">
        <f>IFERROR(INDEX(lunar_ref!$B:$B,MATCH($A185,lunar_ref!$A:$A,0)),"")</f>
        <v/>
      </c>
      <c r="D185" s="0">
        <f>IFERROR(INDEX(lunar_ref!$C:$C,MATCH($A185,lunar_ref!$A:$A,0)),"")</f>
        <v/>
      </c>
      <c r="E185" s="0">
        <f>_xlfn.XLOOKUP($D185,lookup!$A:$A,lookup!$B:$B)</f>
        <v/>
      </c>
      <c r="F185" s="0">
        <f>IF($E185=1,"New",IF($E185=15,"Full",""))</f>
        <v/>
      </c>
      <c r="H185" s="0">
        <f>IF($E185="","",IF(OR($E185=8,$E185=14,$E185=15,$E185=23,$E186=1,$E187=1),"Fast day",""))</f>
        <v/>
      </c>
      <c r="I185" s="0">
        <f>IFERROR(INDEX(lookup!$E:$E,MATCH($C185,lookup!$D:$D,0)),"")</f>
        <v/>
      </c>
      <c r="J185" s="0">
        <f>IF($I185="","",IF(OR($I185=1,$I185=5,$I185=9),IF($K185="","Long fast month","Long fast month (LEAP)"),""))</f>
        <v/>
      </c>
      <c r="K185" s="0">
        <f>IFERROR(IF(INDEX(lookup!$G:$G,MATCH($C185,lookup!$D:$D,0))="LEAP","LEAP MONTH - counts as month "&amp;$I185&amp;", flagged for review",""),"")</f>
        <v/>
      </c>
    </row>
    <row r="186">
      <c r="A186" s="12">
        <f>A185+1</f>
        <v/>
      </c>
      <c r="B186" s="0">
        <f>TEXT(A186,"ddd")</f>
        <v/>
      </c>
      <c r="C186" s="0">
        <f>IFERROR(INDEX(lunar_ref!$B:$B,MATCH($A186,lunar_ref!$A:$A,0)),"")</f>
        <v/>
      </c>
      <c r="D186" s="0">
        <f>IFERROR(INDEX(lunar_ref!$C:$C,MATCH($A186,lunar_ref!$A:$A,0)),"")</f>
        <v/>
      </c>
      <c r="E186" s="0">
        <f>_xlfn.XLOOKUP($D186,lookup!$A:$A,lookup!$B:$B)</f>
        <v/>
      </c>
      <c r="F186" s="0">
        <f>IF($E186=1,"New",IF($E186=15,"Full",""))</f>
        <v/>
      </c>
      <c r="H186" s="0">
        <f>IF($E186="","",IF(OR($E186=8,$E186=14,$E186=15,$E186=23,$E187=1,$E188=1),"Fast day",""))</f>
        <v/>
      </c>
      <c r="I186" s="0">
        <f>IFERROR(INDEX(lookup!$E:$E,MATCH($C186,lookup!$D:$D,0)),"")</f>
        <v/>
      </c>
      <c r="J186" s="0">
        <f>IF($I186="","",IF(OR($I186=1,$I186=5,$I186=9),IF($K186="","Long fast month","Long fast month (LEAP)"),""))</f>
        <v/>
      </c>
      <c r="K186" s="0">
        <f>IFERROR(IF(INDEX(lookup!$G:$G,MATCH($C186,lookup!$D:$D,0))="LEAP","LEAP MONTH - counts as month "&amp;$I186&amp;", flagged for review",""),"")</f>
        <v/>
      </c>
    </row>
    <row r="187">
      <c r="A187" s="12">
        <f>A186+1</f>
        <v/>
      </c>
      <c r="B187" s="0">
        <f>TEXT(A187,"ddd")</f>
        <v/>
      </c>
      <c r="C187" s="0">
        <f>IFERROR(INDEX(lunar_ref!$B:$B,MATCH($A187,lunar_ref!$A:$A,0)),"")</f>
        <v/>
      </c>
      <c r="D187" s="0">
        <f>IFERROR(INDEX(lunar_ref!$C:$C,MATCH($A187,lunar_ref!$A:$A,0)),"")</f>
        <v/>
      </c>
      <c r="E187" s="0">
        <f>_xlfn.XLOOKUP($D187,lookup!$A:$A,lookup!$B:$B)</f>
        <v/>
      </c>
      <c r="F187" s="0">
        <f>IF($E187=1,"New",IF($E187=15,"Full",""))</f>
        <v/>
      </c>
      <c r="H187" s="0">
        <f>IF($E187="","",IF(OR($E187=8,$E187=14,$E187=15,$E187=23,$E188=1,$E189=1),"Fast day",""))</f>
        <v/>
      </c>
      <c r="I187" s="0">
        <f>IFERROR(INDEX(lookup!$E:$E,MATCH($C187,lookup!$D:$D,0)),"")</f>
        <v/>
      </c>
      <c r="J187" s="0">
        <f>IF($I187="","",IF(OR($I187=1,$I187=5,$I187=9),IF($K187="","Long fast month","Long fast month (LEAP)"),""))</f>
        <v/>
      </c>
      <c r="K187" s="0">
        <f>IFERROR(IF(INDEX(lookup!$G:$G,MATCH($C187,lookup!$D:$D,0))="LEAP","LEAP MONTH - counts as month "&amp;$I187&amp;", flagged for review",""),"")</f>
        <v/>
      </c>
    </row>
    <row r="188">
      <c r="A188" s="12">
        <f>A187+1</f>
        <v/>
      </c>
      <c r="B188" s="0">
        <f>TEXT(A188,"ddd")</f>
        <v/>
      </c>
      <c r="C188" s="0">
        <f>IFERROR(INDEX(lunar_ref!$B:$B,MATCH($A188,lunar_ref!$A:$A,0)),"")</f>
        <v/>
      </c>
      <c r="D188" s="0">
        <f>IFERROR(INDEX(lunar_ref!$C:$C,MATCH($A188,lunar_ref!$A:$A,0)),"")</f>
        <v/>
      </c>
      <c r="E188" s="0">
        <f>_xlfn.XLOOKUP($D188,lookup!$A:$A,lookup!$B:$B)</f>
        <v/>
      </c>
      <c r="F188" s="0">
        <f>IF($E188=1,"New",IF($E188=15,"Full",""))</f>
        <v/>
      </c>
      <c r="H188" s="0">
        <f>IF($E188="","",IF(OR($E188=8,$E188=14,$E188=15,$E188=23,$E189=1,$E190=1),"Fast day",""))</f>
        <v/>
      </c>
      <c r="I188" s="0">
        <f>IFERROR(INDEX(lookup!$E:$E,MATCH($C188,lookup!$D:$D,0)),"")</f>
        <v/>
      </c>
      <c r="J188" s="0">
        <f>IF($I188="","",IF(OR($I188=1,$I188=5,$I188=9),IF($K188="","Long fast month","Long fast month (LEAP)"),""))</f>
        <v/>
      </c>
      <c r="K188" s="0">
        <f>IFERROR(IF(INDEX(lookup!$G:$G,MATCH($C188,lookup!$D:$D,0))="LEAP","LEAP MONTH - counts as month "&amp;$I188&amp;", flagged for review",""),"")</f>
        <v/>
      </c>
    </row>
    <row r="189">
      <c r="A189" s="12">
        <f>A188+1</f>
        <v/>
      </c>
      <c r="B189" s="0">
        <f>TEXT(A189,"ddd")</f>
        <v/>
      </c>
      <c r="C189" s="0">
        <f>IFERROR(INDEX(lunar_ref!$B:$B,MATCH($A189,lunar_ref!$A:$A,0)),"")</f>
        <v/>
      </c>
      <c r="D189" s="0">
        <f>IFERROR(INDEX(lunar_ref!$C:$C,MATCH($A189,lunar_ref!$A:$A,0)),"")</f>
        <v/>
      </c>
      <c r="E189" s="0">
        <f>_xlfn.XLOOKUP($D189,lookup!$A:$A,lookup!$B:$B)</f>
        <v/>
      </c>
      <c r="F189" s="0">
        <f>IF($E189=1,"New",IF($E189=15,"Full",""))</f>
        <v/>
      </c>
      <c r="H189" s="0">
        <f>IF($E189="","",IF(OR($E189=8,$E189=14,$E189=15,$E189=23,$E190=1,$E191=1),"Fast day",""))</f>
        <v/>
      </c>
      <c r="I189" s="0">
        <f>IFERROR(INDEX(lookup!$E:$E,MATCH($C189,lookup!$D:$D,0)),"")</f>
        <v/>
      </c>
      <c r="J189" s="0">
        <f>IF($I189="","",IF(OR($I189=1,$I189=5,$I189=9),IF($K189="","Long fast month","Long fast month (LEAP)"),""))</f>
        <v/>
      </c>
      <c r="K189" s="0">
        <f>IFERROR(IF(INDEX(lookup!$G:$G,MATCH($C189,lookup!$D:$D,0))="LEAP","LEAP MONTH - counts as month "&amp;$I189&amp;", flagged for review",""),"")</f>
        <v/>
      </c>
    </row>
    <row r="190">
      <c r="A190" s="12">
        <f>A189+1</f>
        <v/>
      </c>
      <c r="B190" s="0">
        <f>TEXT(A190,"ddd")</f>
        <v/>
      </c>
      <c r="C190" s="0">
        <f>IFERROR(INDEX(lunar_ref!$B:$B,MATCH($A190,lunar_ref!$A:$A,0)),"")</f>
        <v/>
      </c>
      <c r="D190" s="0">
        <f>IFERROR(INDEX(lunar_ref!$C:$C,MATCH($A190,lunar_ref!$A:$A,0)),"")</f>
        <v/>
      </c>
      <c r="E190" s="0">
        <f>_xlfn.XLOOKUP($D190,lookup!$A:$A,lookup!$B:$B)</f>
        <v/>
      </c>
      <c r="F190" s="0">
        <f>IF($E190=1,"New",IF($E190=15,"Full",""))</f>
        <v/>
      </c>
      <c r="H190" s="0">
        <f>IF($E190="","",IF(OR($E190=8,$E190=14,$E190=15,$E190=23,$E191=1,$E192=1),"Fast day",""))</f>
        <v/>
      </c>
      <c r="I190" s="0">
        <f>IFERROR(INDEX(lookup!$E:$E,MATCH($C190,lookup!$D:$D,0)),"")</f>
        <v/>
      </c>
      <c r="J190" s="0">
        <f>IF($I190="","",IF(OR($I190=1,$I190=5,$I190=9),IF($K190="","Long fast month","Long fast month (LEAP)"),""))</f>
        <v/>
      </c>
      <c r="K190" s="0">
        <f>IFERROR(IF(INDEX(lookup!$G:$G,MATCH($C190,lookup!$D:$D,0))="LEAP","LEAP MONTH - counts as month "&amp;$I190&amp;", flagged for review",""),"")</f>
        <v/>
      </c>
    </row>
    <row r="191">
      <c r="A191" s="12">
        <f>A190+1</f>
        <v/>
      </c>
      <c r="B191" s="0">
        <f>TEXT(A191,"ddd")</f>
        <v/>
      </c>
      <c r="C191" s="0">
        <f>IFERROR(INDEX(lunar_ref!$B:$B,MATCH($A191,lunar_ref!$A:$A,0)),"")</f>
        <v/>
      </c>
      <c r="D191" s="0">
        <f>IFERROR(INDEX(lunar_ref!$C:$C,MATCH($A191,lunar_ref!$A:$A,0)),"")</f>
        <v/>
      </c>
      <c r="E191" s="0">
        <f>_xlfn.XLOOKUP($D191,lookup!$A:$A,lookup!$B:$B)</f>
        <v/>
      </c>
      <c r="F191" s="0">
        <f>IF($E191=1,"New",IF($E191=15,"Full",""))</f>
        <v/>
      </c>
      <c r="H191" s="0">
        <f>IF($E191="","",IF(OR($E191=8,$E191=14,$E191=15,$E191=23,$E192=1,$E193=1),"Fast day",""))</f>
        <v/>
      </c>
      <c r="I191" s="0">
        <f>IFERROR(INDEX(lookup!$E:$E,MATCH($C191,lookup!$D:$D,0)),"")</f>
        <v/>
      </c>
      <c r="J191" s="0">
        <f>IF($I191="","",IF(OR($I191=1,$I191=5,$I191=9),IF($K191="","Long fast month","Long fast month (LEAP)"),""))</f>
        <v/>
      </c>
      <c r="K191" s="0">
        <f>IFERROR(IF(INDEX(lookup!$G:$G,MATCH($C191,lookup!$D:$D,0))="LEAP","LEAP MONTH - counts as month "&amp;$I191&amp;", flagged for review",""),"")</f>
        <v/>
      </c>
    </row>
    <row r="192">
      <c r="A192" s="12">
        <f>A191+1</f>
        <v/>
      </c>
      <c r="B192" s="0">
        <f>TEXT(A192,"ddd")</f>
        <v/>
      </c>
      <c r="C192" s="0">
        <f>IFERROR(INDEX(lunar_ref!$B:$B,MATCH($A192,lunar_ref!$A:$A,0)),"")</f>
        <v/>
      </c>
      <c r="D192" s="0">
        <f>IFERROR(INDEX(lunar_ref!$C:$C,MATCH($A192,lunar_ref!$A:$A,0)),"")</f>
        <v/>
      </c>
      <c r="E192" s="0">
        <f>_xlfn.XLOOKUP($D192,lookup!$A:$A,lookup!$B:$B)</f>
        <v/>
      </c>
      <c r="F192" s="0">
        <f>IF($E192=1,"New",IF($E192=15,"Full",""))</f>
        <v/>
      </c>
      <c r="H192" s="0">
        <f>IF($E192="","",IF(OR($E192=8,$E192=14,$E192=15,$E192=23,$E193=1,$E194=1),"Fast day",""))</f>
        <v/>
      </c>
      <c r="I192" s="0">
        <f>IFERROR(INDEX(lookup!$E:$E,MATCH($C192,lookup!$D:$D,0)),"")</f>
        <v/>
      </c>
      <c r="J192" s="0">
        <f>IF($I192="","",IF(OR($I192=1,$I192=5,$I192=9),IF($K192="","Long fast month","Long fast month (LEAP)"),""))</f>
        <v/>
      </c>
      <c r="K192" s="0">
        <f>IFERROR(IF(INDEX(lookup!$G:$G,MATCH($C192,lookup!$D:$D,0))="LEAP","LEAP MONTH - counts as month "&amp;$I192&amp;", flagged for review",""),"")</f>
        <v/>
      </c>
    </row>
    <row r="193">
      <c r="A193" s="12">
        <f>A192+1</f>
        <v/>
      </c>
      <c r="B193" s="0">
        <f>TEXT(A193,"ddd")</f>
        <v/>
      </c>
      <c r="C193" s="0">
        <f>IFERROR(INDEX(lunar_ref!$B:$B,MATCH($A193,lunar_ref!$A:$A,0)),"")</f>
        <v/>
      </c>
      <c r="D193" s="0">
        <f>IFERROR(INDEX(lunar_ref!$C:$C,MATCH($A193,lunar_ref!$A:$A,0)),"")</f>
        <v/>
      </c>
      <c r="E193" s="0">
        <f>_xlfn.XLOOKUP($D193,lookup!$A:$A,lookup!$B:$B)</f>
        <v/>
      </c>
      <c r="F193" s="0">
        <f>IF($E193=1,"New",IF($E193=15,"Full",""))</f>
        <v/>
      </c>
      <c r="H193" s="0">
        <f>IF($E193="","",IF(OR($E193=8,$E193=14,$E193=15,$E193=23,$E194=1,$E195=1),"Fast day",""))</f>
        <v/>
      </c>
      <c r="I193" s="0">
        <f>IFERROR(INDEX(lookup!$E:$E,MATCH($C193,lookup!$D:$D,0)),"")</f>
        <v/>
      </c>
      <c r="J193" s="0">
        <f>IF($I193="","",IF(OR($I193=1,$I193=5,$I193=9),IF($K193="","Long fast month","Long fast month (LEAP)"),""))</f>
        <v/>
      </c>
      <c r="K193" s="0">
        <f>IFERROR(IF(INDEX(lookup!$G:$G,MATCH($C193,lookup!$D:$D,0))="LEAP","LEAP MONTH - counts as month "&amp;$I193&amp;", flagged for review",""),"")</f>
        <v/>
      </c>
    </row>
    <row r="194">
      <c r="A194" s="12">
        <f>A193+1</f>
        <v/>
      </c>
      <c r="B194" s="0">
        <f>TEXT(A194,"ddd")</f>
        <v/>
      </c>
      <c r="C194" s="0">
        <f>IFERROR(INDEX(lunar_ref!$B:$B,MATCH($A194,lunar_ref!$A:$A,0)),"")</f>
        <v/>
      </c>
      <c r="D194" s="0">
        <f>IFERROR(INDEX(lunar_ref!$C:$C,MATCH($A194,lunar_ref!$A:$A,0)),"")</f>
        <v/>
      </c>
      <c r="E194" s="0">
        <f>_xlfn.XLOOKUP($D194,lookup!$A:$A,lookup!$B:$B)</f>
        <v/>
      </c>
      <c r="F194" s="0">
        <f>IF($E194=1,"New",IF($E194=15,"Full",""))</f>
        <v/>
      </c>
      <c r="H194" s="0">
        <f>IF($E194="","",IF(OR($E194=8,$E194=14,$E194=15,$E194=23,$E195=1,$E196=1),"Fast day",""))</f>
        <v/>
      </c>
      <c r="I194" s="0">
        <f>IFERROR(INDEX(lookup!$E:$E,MATCH($C194,lookup!$D:$D,0)),"")</f>
        <v/>
      </c>
      <c r="J194" s="0">
        <f>IF($I194="","",IF(OR($I194=1,$I194=5,$I194=9),IF($K194="","Long fast month","Long fast month (LEAP)"),""))</f>
        <v/>
      </c>
      <c r="K194" s="0">
        <f>IFERROR(IF(INDEX(lookup!$G:$G,MATCH($C194,lookup!$D:$D,0))="LEAP","LEAP MONTH - counts as month "&amp;$I194&amp;", flagged for review",""),"")</f>
        <v/>
      </c>
    </row>
    <row r="195">
      <c r="A195" s="12">
        <f>A194+1</f>
        <v/>
      </c>
      <c r="B195" s="0">
        <f>TEXT(A195,"ddd")</f>
        <v/>
      </c>
      <c r="C195" s="0">
        <f>IFERROR(INDEX(lunar_ref!$B:$B,MATCH($A195,lunar_ref!$A:$A,0)),"")</f>
        <v/>
      </c>
      <c r="D195" s="0">
        <f>IFERROR(INDEX(lunar_ref!$C:$C,MATCH($A195,lunar_ref!$A:$A,0)),"")</f>
        <v/>
      </c>
      <c r="E195" s="0">
        <f>_xlfn.XLOOKUP($D195,lookup!$A:$A,lookup!$B:$B)</f>
        <v/>
      </c>
      <c r="F195" s="0">
        <f>IF($E195=1,"New",IF($E195=15,"Full",""))</f>
        <v/>
      </c>
      <c r="H195" s="0">
        <f>IF($E195="","",IF(OR($E195=8,$E195=14,$E195=15,$E195=23,$E196=1,$E197=1),"Fast day",""))</f>
        <v/>
      </c>
      <c r="I195" s="0">
        <f>IFERROR(INDEX(lookup!$E:$E,MATCH($C195,lookup!$D:$D,0)),"")</f>
        <v/>
      </c>
      <c r="J195" s="0">
        <f>IF($I195="","",IF(OR($I195=1,$I195=5,$I195=9),IF($K195="","Long fast month","Long fast month (LEAP)"),""))</f>
        <v/>
      </c>
      <c r="K195" s="0">
        <f>IFERROR(IF(INDEX(lookup!$G:$G,MATCH($C195,lookup!$D:$D,0))="LEAP","LEAP MONTH - counts as month "&amp;$I195&amp;", flagged for review",""),"")</f>
        <v/>
      </c>
    </row>
    <row r="196">
      <c r="A196" s="12">
        <f>A195+1</f>
        <v/>
      </c>
      <c r="B196" s="0">
        <f>TEXT(A196,"ddd")</f>
        <v/>
      </c>
      <c r="C196" s="0">
        <f>IFERROR(INDEX(lunar_ref!$B:$B,MATCH($A196,lunar_ref!$A:$A,0)),"")</f>
        <v/>
      </c>
      <c r="D196" s="0">
        <f>IFERROR(INDEX(lunar_ref!$C:$C,MATCH($A196,lunar_ref!$A:$A,0)),"")</f>
        <v/>
      </c>
      <c r="E196" s="0">
        <f>_xlfn.XLOOKUP($D196,lookup!$A:$A,lookup!$B:$B)</f>
        <v/>
      </c>
      <c r="F196" s="0">
        <f>IF($E196=1,"New",IF($E196=15,"Full",""))</f>
        <v/>
      </c>
      <c r="H196" s="0">
        <f>IF($E196="","",IF(OR($E196=8,$E196=14,$E196=15,$E196=23,$E197=1,$E198=1),"Fast day",""))</f>
        <v/>
      </c>
      <c r="I196" s="0">
        <f>IFERROR(INDEX(lookup!$E:$E,MATCH($C196,lookup!$D:$D,0)),"")</f>
        <v/>
      </c>
      <c r="J196" s="0">
        <f>IF($I196="","",IF(OR($I196=1,$I196=5,$I196=9),IF($K196="","Long fast month","Long fast month (LEAP)"),""))</f>
        <v/>
      </c>
      <c r="K196" s="0">
        <f>IFERROR(IF(INDEX(lookup!$G:$G,MATCH($C196,lookup!$D:$D,0))="LEAP","LEAP MONTH - counts as month "&amp;$I196&amp;", flagged for review",""),"")</f>
        <v/>
      </c>
    </row>
    <row r="197">
      <c r="A197" s="12">
        <f>A196+1</f>
        <v/>
      </c>
      <c r="B197" s="0">
        <f>TEXT(A197,"ddd")</f>
        <v/>
      </c>
      <c r="C197" s="0">
        <f>IFERROR(INDEX(lunar_ref!$B:$B,MATCH($A197,lunar_ref!$A:$A,0)),"")</f>
        <v/>
      </c>
      <c r="D197" s="0">
        <f>IFERROR(INDEX(lunar_ref!$C:$C,MATCH($A197,lunar_ref!$A:$A,0)),"")</f>
        <v/>
      </c>
      <c r="E197" s="0">
        <f>_xlfn.XLOOKUP($D197,lookup!$A:$A,lookup!$B:$B)</f>
        <v/>
      </c>
      <c r="F197" s="0">
        <f>IF($E197=1,"New",IF($E197=15,"Full",""))</f>
        <v/>
      </c>
      <c r="H197" s="0">
        <f>IF($E197="","",IF(OR($E197=8,$E197=14,$E197=15,$E197=23,$E198=1,$E199=1),"Fast day",""))</f>
        <v/>
      </c>
      <c r="I197" s="0">
        <f>IFERROR(INDEX(lookup!$E:$E,MATCH($C197,lookup!$D:$D,0)),"")</f>
        <v/>
      </c>
      <c r="J197" s="0">
        <f>IF($I197="","",IF(OR($I197=1,$I197=5,$I197=9),IF($K197="","Long fast month","Long fast month (LEAP)"),""))</f>
        <v/>
      </c>
      <c r="K197" s="0">
        <f>IFERROR(IF(INDEX(lookup!$G:$G,MATCH($C197,lookup!$D:$D,0))="LEAP","LEAP MONTH - counts as month "&amp;$I197&amp;", flagged for review",""),"")</f>
        <v/>
      </c>
    </row>
    <row r="198">
      <c r="A198" s="12">
        <f>A197+1</f>
        <v/>
      </c>
      <c r="B198" s="0">
        <f>TEXT(A198,"ddd")</f>
        <v/>
      </c>
      <c r="C198" s="0">
        <f>IFERROR(INDEX(lunar_ref!$B:$B,MATCH($A198,lunar_ref!$A:$A,0)),"")</f>
        <v/>
      </c>
      <c r="D198" s="0">
        <f>IFERROR(INDEX(lunar_ref!$C:$C,MATCH($A198,lunar_ref!$A:$A,0)),"")</f>
        <v/>
      </c>
      <c r="E198" s="0">
        <f>_xlfn.XLOOKUP($D198,lookup!$A:$A,lookup!$B:$B)</f>
        <v/>
      </c>
      <c r="F198" s="0">
        <f>IF($E198=1,"New",IF($E198=15,"Full",""))</f>
        <v/>
      </c>
      <c r="H198" s="0">
        <f>IF($E198="","",IF(OR($E198=8,$E198=14,$E198=15,$E198=23,$E199=1,$E200=1),"Fast day",""))</f>
        <v/>
      </c>
      <c r="I198" s="0">
        <f>IFERROR(INDEX(lookup!$E:$E,MATCH($C198,lookup!$D:$D,0)),"")</f>
        <v/>
      </c>
      <c r="J198" s="0">
        <f>IF($I198="","",IF(OR($I198=1,$I198=5,$I198=9),IF($K198="","Long fast month","Long fast month (LEAP)"),""))</f>
        <v/>
      </c>
      <c r="K198" s="0">
        <f>IFERROR(IF(INDEX(lookup!$G:$G,MATCH($C198,lookup!$D:$D,0))="LEAP","LEAP MONTH - counts as month "&amp;$I198&amp;", flagged for review",""),"")</f>
        <v/>
      </c>
    </row>
    <row r="199">
      <c r="A199" s="12">
        <f>A198+1</f>
        <v/>
      </c>
      <c r="B199" s="0">
        <f>TEXT(A199,"ddd")</f>
        <v/>
      </c>
      <c r="C199" s="0">
        <f>IFERROR(INDEX(lunar_ref!$B:$B,MATCH($A199,lunar_ref!$A:$A,0)),"")</f>
        <v/>
      </c>
      <c r="D199" s="0">
        <f>IFERROR(INDEX(lunar_ref!$C:$C,MATCH($A199,lunar_ref!$A:$A,0)),"")</f>
        <v/>
      </c>
      <c r="E199" s="0">
        <f>_xlfn.XLOOKUP($D199,lookup!$A:$A,lookup!$B:$B)</f>
        <v/>
      </c>
      <c r="F199" s="0">
        <f>IF($E199=1,"New",IF($E199=15,"Full",""))</f>
        <v/>
      </c>
      <c r="H199" s="0">
        <f>IF($E199="","",IF(OR($E199=8,$E199=14,$E199=15,$E199=23,$E200=1,$E201=1),"Fast day",""))</f>
        <v/>
      </c>
      <c r="I199" s="0">
        <f>IFERROR(INDEX(lookup!$E:$E,MATCH($C199,lookup!$D:$D,0)),"")</f>
        <v/>
      </c>
      <c r="J199" s="0">
        <f>IF($I199="","",IF(OR($I199=1,$I199=5,$I199=9),IF($K199="","Long fast month","Long fast month (LEAP)"),""))</f>
        <v/>
      </c>
      <c r="K199" s="0">
        <f>IFERROR(IF(INDEX(lookup!$G:$G,MATCH($C199,lookup!$D:$D,0))="LEAP","LEAP MONTH - counts as month "&amp;$I199&amp;", flagged for review",""),"")</f>
        <v/>
      </c>
    </row>
    <row r="200">
      <c r="A200" s="12">
        <f>A199+1</f>
        <v/>
      </c>
      <c r="B200" s="0">
        <f>TEXT(A200,"ddd")</f>
        <v/>
      </c>
      <c r="C200" s="0">
        <f>IFERROR(INDEX(lunar_ref!$B:$B,MATCH($A200,lunar_ref!$A:$A,0)),"")</f>
        <v/>
      </c>
      <c r="D200" s="0">
        <f>IFERROR(INDEX(lunar_ref!$C:$C,MATCH($A200,lunar_ref!$A:$A,0)),"")</f>
        <v/>
      </c>
      <c r="E200" s="0">
        <f>_xlfn.XLOOKUP($D200,lookup!$A:$A,lookup!$B:$B)</f>
        <v/>
      </c>
      <c r="F200" s="0">
        <f>IF($E200=1,"New",IF($E200=15,"Full",""))</f>
        <v/>
      </c>
      <c r="H200" s="0">
        <f>IF($E200="","",IF(OR($E200=8,$E200=14,$E200=15,$E200=23,$E201=1,$E202=1),"Fast day",""))</f>
        <v/>
      </c>
      <c r="I200" s="0">
        <f>IFERROR(INDEX(lookup!$E:$E,MATCH($C200,lookup!$D:$D,0)),"")</f>
        <v/>
      </c>
      <c r="J200" s="0">
        <f>IF($I200="","",IF(OR($I200=1,$I200=5,$I200=9),IF($K200="","Long fast month","Long fast month (LEAP)"),""))</f>
        <v/>
      </c>
      <c r="K200" s="0">
        <f>IFERROR(IF(INDEX(lookup!$G:$G,MATCH($C200,lookup!$D:$D,0))="LEAP","LEAP MONTH - counts as month "&amp;$I200&amp;", flagged for review",""),"")</f>
        <v/>
      </c>
    </row>
    <row r="201">
      <c r="A201" s="12">
        <f>A200+1</f>
        <v/>
      </c>
      <c r="B201" s="0">
        <f>TEXT(A201,"ddd")</f>
        <v/>
      </c>
      <c r="C201" s="0">
        <f>IFERROR(INDEX(lunar_ref!$B:$B,MATCH($A201,lunar_ref!$A:$A,0)),"")</f>
        <v/>
      </c>
      <c r="D201" s="0">
        <f>IFERROR(INDEX(lunar_ref!$C:$C,MATCH($A201,lunar_ref!$A:$A,0)),"")</f>
        <v/>
      </c>
      <c r="E201" s="0">
        <f>_xlfn.XLOOKUP($D201,lookup!$A:$A,lookup!$B:$B)</f>
        <v/>
      </c>
      <c r="F201" s="0">
        <f>IF($E201=1,"New",IF($E201=15,"Full",""))</f>
        <v/>
      </c>
      <c r="H201" s="0">
        <f>IF($E201="","",IF(OR($E201=8,$E201=14,$E201=15,$E201=23,$E202=1,$E203=1),"Fast day",""))</f>
        <v/>
      </c>
      <c r="I201" s="0">
        <f>IFERROR(INDEX(lookup!$E:$E,MATCH($C201,lookup!$D:$D,0)),"")</f>
        <v/>
      </c>
      <c r="J201" s="0">
        <f>IF($I201="","",IF(OR($I201=1,$I201=5,$I201=9),IF($K201="","Long fast month","Long fast month (LEAP)"),""))</f>
        <v/>
      </c>
      <c r="K201" s="0">
        <f>IFERROR(IF(INDEX(lookup!$G:$G,MATCH($C201,lookup!$D:$D,0))="LEAP","LEAP MONTH - counts as month "&amp;$I201&amp;", flagged for review",""),"")</f>
        <v/>
      </c>
    </row>
    <row r="202">
      <c r="A202" s="12">
        <f>A201+1</f>
        <v/>
      </c>
      <c r="B202" s="0">
        <f>TEXT(A202,"ddd")</f>
        <v/>
      </c>
      <c r="C202" s="0">
        <f>IFERROR(INDEX(lunar_ref!$B:$B,MATCH($A202,lunar_ref!$A:$A,0)),"")</f>
        <v/>
      </c>
      <c r="D202" s="0">
        <f>IFERROR(INDEX(lunar_ref!$C:$C,MATCH($A202,lunar_ref!$A:$A,0)),"")</f>
        <v/>
      </c>
      <c r="E202" s="0">
        <f>_xlfn.XLOOKUP($D202,lookup!$A:$A,lookup!$B:$B)</f>
        <v/>
      </c>
      <c r="F202" s="0">
        <f>IF($E202=1,"New",IF($E202=15,"Full",""))</f>
        <v/>
      </c>
      <c r="H202" s="0">
        <f>IF($E202="","",IF(OR($E202=8,$E202=14,$E202=15,$E202=23,$E203=1,$E204=1),"Fast day",""))</f>
        <v/>
      </c>
      <c r="I202" s="0">
        <f>IFERROR(INDEX(lookup!$E:$E,MATCH($C202,lookup!$D:$D,0)),"")</f>
        <v/>
      </c>
      <c r="J202" s="0">
        <f>IF($I202="","",IF(OR($I202=1,$I202=5,$I202=9),IF($K202="","Long fast month","Long fast month (LEAP)"),""))</f>
        <v/>
      </c>
      <c r="K202" s="0">
        <f>IFERROR(IF(INDEX(lookup!$G:$G,MATCH($C202,lookup!$D:$D,0))="LEAP","LEAP MONTH - counts as month "&amp;$I202&amp;", flagged for review",""),"")</f>
        <v/>
      </c>
    </row>
    <row r="203">
      <c r="A203" s="12">
        <f>A202+1</f>
        <v/>
      </c>
      <c r="B203" s="0">
        <f>TEXT(A203,"ddd")</f>
        <v/>
      </c>
      <c r="C203" s="0">
        <f>IFERROR(INDEX(lunar_ref!$B:$B,MATCH($A203,lunar_ref!$A:$A,0)),"")</f>
        <v/>
      </c>
      <c r="D203" s="0">
        <f>IFERROR(INDEX(lunar_ref!$C:$C,MATCH($A203,lunar_ref!$A:$A,0)),"")</f>
        <v/>
      </c>
      <c r="E203" s="0">
        <f>_xlfn.XLOOKUP($D203,lookup!$A:$A,lookup!$B:$B)</f>
        <v/>
      </c>
      <c r="F203" s="0">
        <f>IF($E203=1,"New",IF($E203=15,"Full",""))</f>
        <v/>
      </c>
      <c r="H203" s="0">
        <f>IF($E203="","",IF(OR($E203=8,$E203=14,$E203=15,$E203=23,$E204=1,$E205=1),"Fast day",""))</f>
        <v/>
      </c>
      <c r="I203" s="0">
        <f>IFERROR(INDEX(lookup!$E:$E,MATCH($C203,lookup!$D:$D,0)),"")</f>
        <v/>
      </c>
      <c r="J203" s="0">
        <f>IF($I203="","",IF(OR($I203=1,$I203=5,$I203=9),IF($K203="","Long fast month","Long fast month (LEAP)"),""))</f>
        <v/>
      </c>
      <c r="K203" s="0">
        <f>IFERROR(IF(INDEX(lookup!$G:$G,MATCH($C203,lookup!$D:$D,0))="LEAP","LEAP MONTH - counts as month "&amp;$I203&amp;", flagged for review",""),"")</f>
        <v/>
      </c>
    </row>
    <row r="204">
      <c r="A204" s="12">
        <f>A203+1</f>
        <v/>
      </c>
      <c r="B204" s="0">
        <f>TEXT(A204,"ddd")</f>
        <v/>
      </c>
      <c r="C204" s="0">
        <f>IFERROR(INDEX(lunar_ref!$B:$B,MATCH($A204,lunar_ref!$A:$A,0)),"")</f>
        <v/>
      </c>
      <c r="D204" s="0">
        <f>IFERROR(INDEX(lunar_ref!$C:$C,MATCH($A204,lunar_ref!$A:$A,0)),"")</f>
        <v/>
      </c>
      <c r="E204" s="0">
        <f>_xlfn.XLOOKUP($D204,lookup!$A:$A,lookup!$B:$B)</f>
        <v/>
      </c>
      <c r="F204" s="0">
        <f>IF($E204=1,"New",IF($E204=15,"Full",""))</f>
        <v/>
      </c>
      <c r="H204" s="0">
        <f>IF($E204="","",IF(OR($E204=8,$E204=14,$E204=15,$E204=23,$E205=1,$E206=1),"Fast day",""))</f>
        <v/>
      </c>
      <c r="I204" s="0">
        <f>IFERROR(INDEX(lookup!$E:$E,MATCH($C204,lookup!$D:$D,0)),"")</f>
        <v/>
      </c>
      <c r="J204" s="0">
        <f>IF($I204="","",IF(OR($I204=1,$I204=5,$I204=9),IF($K204="","Long fast month","Long fast month (LEAP)"),""))</f>
        <v/>
      </c>
      <c r="K204" s="0">
        <f>IFERROR(IF(INDEX(lookup!$G:$G,MATCH($C204,lookup!$D:$D,0))="LEAP","LEAP MONTH - counts as month "&amp;$I204&amp;", flagged for review",""),"")</f>
        <v/>
      </c>
    </row>
    <row r="205">
      <c r="A205" s="12">
        <f>A204+1</f>
        <v/>
      </c>
      <c r="B205" s="0">
        <f>TEXT(A205,"ddd")</f>
        <v/>
      </c>
      <c r="C205" s="0">
        <f>IFERROR(INDEX(lunar_ref!$B:$B,MATCH($A205,lunar_ref!$A:$A,0)),"")</f>
        <v/>
      </c>
      <c r="D205" s="0">
        <f>IFERROR(INDEX(lunar_ref!$C:$C,MATCH($A205,lunar_ref!$A:$A,0)),"")</f>
        <v/>
      </c>
      <c r="E205" s="0">
        <f>_xlfn.XLOOKUP($D205,lookup!$A:$A,lookup!$B:$B)</f>
        <v/>
      </c>
      <c r="F205" s="0">
        <f>IF($E205=1,"New",IF($E205=15,"Full",""))</f>
        <v/>
      </c>
      <c r="H205" s="0">
        <f>IF($E205="","",IF(OR($E205=8,$E205=14,$E205=15,$E205=23,$E206=1,$E207=1),"Fast day",""))</f>
        <v/>
      </c>
      <c r="I205" s="0">
        <f>IFERROR(INDEX(lookup!$E:$E,MATCH($C205,lookup!$D:$D,0)),"")</f>
        <v/>
      </c>
      <c r="J205" s="0">
        <f>IF($I205="","",IF(OR($I205=1,$I205=5,$I205=9),IF($K205="","Long fast month","Long fast month (LEAP)"),""))</f>
        <v/>
      </c>
      <c r="K205" s="0">
        <f>IFERROR(IF(INDEX(lookup!$G:$G,MATCH($C205,lookup!$D:$D,0))="LEAP","LEAP MONTH - counts as month "&amp;$I205&amp;", flagged for review",""),"")</f>
        <v/>
      </c>
    </row>
    <row r="206">
      <c r="A206" s="12">
        <f>A205+1</f>
        <v/>
      </c>
      <c r="B206" s="0">
        <f>TEXT(A206,"ddd")</f>
        <v/>
      </c>
      <c r="C206" s="0">
        <f>IFERROR(INDEX(lunar_ref!$B:$B,MATCH($A206,lunar_ref!$A:$A,0)),"")</f>
        <v/>
      </c>
      <c r="D206" s="0">
        <f>IFERROR(INDEX(lunar_ref!$C:$C,MATCH($A206,lunar_ref!$A:$A,0)),"")</f>
        <v/>
      </c>
      <c r="E206" s="0">
        <f>_xlfn.XLOOKUP($D206,lookup!$A:$A,lookup!$B:$B)</f>
        <v/>
      </c>
      <c r="F206" s="0">
        <f>IF($E206=1,"New",IF($E206=15,"Full",""))</f>
        <v/>
      </c>
      <c r="H206" s="0">
        <f>IF($E206="","",IF(OR($E206=8,$E206=14,$E206=15,$E206=23,$E207=1,$E208=1),"Fast day",""))</f>
        <v/>
      </c>
      <c r="I206" s="0">
        <f>IFERROR(INDEX(lookup!$E:$E,MATCH($C206,lookup!$D:$D,0)),"")</f>
        <v/>
      </c>
      <c r="J206" s="0">
        <f>IF($I206="","",IF(OR($I206=1,$I206=5,$I206=9),IF($K206="","Long fast month","Long fast month (LEAP)"),""))</f>
        <v/>
      </c>
      <c r="K206" s="0">
        <f>IFERROR(IF(INDEX(lookup!$G:$G,MATCH($C206,lookup!$D:$D,0))="LEAP","LEAP MONTH - counts as month "&amp;$I206&amp;", flagged for review",""),"")</f>
        <v/>
      </c>
    </row>
    <row r="207">
      <c r="A207" s="12">
        <f>A206+1</f>
        <v/>
      </c>
      <c r="B207" s="0">
        <f>TEXT(A207,"ddd")</f>
        <v/>
      </c>
      <c r="C207" s="0">
        <f>IFERROR(INDEX(lunar_ref!$B:$B,MATCH($A207,lunar_ref!$A:$A,0)),"")</f>
        <v/>
      </c>
      <c r="D207" s="0">
        <f>IFERROR(INDEX(lunar_ref!$C:$C,MATCH($A207,lunar_ref!$A:$A,0)),"")</f>
        <v/>
      </c>
      <c r="E207" s="0">
        <f>_xlfn.XLOOKUP($D207,lookup!$A:$A,lookup!$B:$B)</f>
        <v/>
      </c>
      <c r="F207" s="0">
        <f>IF($E207=1,"New",IF($E207=15,"Full",""))</f>
        <v/>
      </c>
      <c r="H207" s="0">
        <f>IF($E207="","",IF(OR($E207=8,$E207=14,$E207=15,$E207=23,$E208=1,$E209=1),"Fast day",""))</f>
        <v/>
      </c>
      <c r="I207" s="0">
        <f>IFERROR(INDEX(lookup!$E:$E,MATCH($C207,lookup!$D:$D,0)),"")</f>
        <v/>
      </c>
      <c r="J207" s="0">
        <f>IF($I207="","",IF(OR($I207=1,$I207=5,$I207=9),IF($K207="","Long fast month","Long fast month (LEAP)"),""))</f>
        <v/>
      </c>
      <c r="K207" s="0">
        <f>IFERROR(IF(INDEX(lookup!$G:$G,MATCH($C207,lookup!$D:$D,0))="LEAP","LEAP MONTH - counts as month "&amp;$I207&amp;", flagged for review",""),"")</f>
        <v/>
      </c>
    </row>
    <row r="208">
      <c r="A208" s="12">
        <f>A207+1</f>
        <v/>
      </c>
      <c r="B208" s="0">
        <f>TEXT(A208,"ddd")</f>
        <v/>
      </c>
      <c r="C208" s="0">
        <f>IFERROR(INDEX(lunar_ref!$B:$B,MATCH($A208,lunar_ref!$A:$A,0)),"")</f>
        <v/>
      </c>
      <c r="D208" s="0">
        <f>IFERROR(INDEX(lunar_ref!$C:$C,MATCH($A208,lunar_ref!$A:$A,0)),"")</f>
        <v/>
      </c>
      <c r="E208" s="0">
        <f>_xlfn.XLOOKUP($D208,lookup!$A:$A,lookup!$B:$B)</f>
        <v/>
      </c>
      <c r="F208" s="0">
        <f>IF($E208=1,"New",IF($E208=15,"Full",""))</f>
        <v/>
      </c>
      <c r="H208" s="0">
        <f>IF($E208="","",IF(OR($E208=8,$E208=14,$E208=15,$E208=23,$E209=1,$E210=1),"Fast day",""))</f>
        <v/>
      </c>
      <c r="I208" s="0">
        <f>IFERROR(INDEX(lookup!$E:$E,MATCH($C208,lookup!$D:$D,0)),"")</f>
        <v/>
      </c>
      <c r="J208" s="0">
        <f>IF($I208="","",IF(OR($I208=1,$I208=5,$I208=9),IF($K208="","Long fast month","Long fast month (LEAP)"),""))</f>
        <v/>
      </c>
      <c r="K208" s="0">
        <f>IFERROR(IF(INDEX(lookup!$G:$G,MATCH($C208,lookup!$D:$D,0))="LEAP","LEAP MONTH - counts as month "&amp;$I208&amp;", flagged for review",""),"")</f>
        <v/>
      </c>
    </row>
    <row r="209">
      <c r="A209" s="12">
        <f>A208+1</f>
        <v/>
      </c>
      <c r="B209" s="0">
        <f>TEXT(A209,"ddd")</f>
        <v/>
      </c>
      <c r="C209" s="0">
        <f>IFERROR(INDEX(lunar_ref!$B:$B,MATCH($A209,lunar_ref!$A:$A,0)),"")</f>
        <v/>
      </c>
      <c r="D209" s="0">
        <f>IFERROR(INDEX(lunar_ref!$C:$C,MATCH($A209,lunar_ref!$A:$A,0)),"")</f>
        <v/>
      </c>
      <c r="E209" s="0">
        <f>_xlfn.XLOOKUP($D209,lookup!$A:$A,lookup!$B:$B)</f>
        <v/>
      </c>
      <c r="F209" s="0">
        <f>IF($E209=1,"New",IF($E209=15,"Full",""))</f>
        <v/>
      </c>
      <c r="H209" s="0">
        <f>IF($E209="","",IF(OR($E209=8,$E209=14,$E209=15,$E209=23,$E210=1,$E211=1),"Fast day",""))</f>
        <v/>
      </c>
      <c r="I209" s="0">
        <f>IFERROR(INDEX(lookup!$E:$E,MATCH($C209,lookup!$D:$D,0)),"")</f>
        <v/>
      </c>
      <c r="J209" s="0">
        <f>IF($I209="","",IF(OR($I209=1,$I209=5,$I209=9),IF($K209="","Long fast month","Long fast month (LEAP)"),""))</f>
        <v/>
      </c>
      <c r="K209" s="0">
        <f>IFERROR(IF(INDEX(lookup!$G:$G,MATCH($C209,lookup!$D:$D,0))="LEAP","LEAP MONTH - counts as month "&amp;$I209&amp;", flagged for review",""),"")</f>
        <v/>
      </c>
    </row>
    <row r="210">
      <c r="A210" s="12">
        <f>A209+1</f>
        <v/>
      </c>
      <c r="B210" s="0">
        <f>TEXT(A210,"ddd")</f>
        <v/>
      </c>
      <c r="C210" s="0">
        <f>IFERROR(INDEX(lunar_ref!$B:$B,MATCH($A210,lunar_ref!$A:$A,0)),"")</f>
        <v/>
      </c>
      <c r="D210" s="0">
        <f>IFERROR(INDEX(lunar_ref!$C:$C,MATCH($A210,lunar_ref!$A:$A,0)),"")</f>
        <v/>
      </c>
      <c r="E210" s="0">
        <f>_xlfn.XLOOKUP($D210,lookup!$A:$A,lookup!$B:$B)</f>
        <v/>
      </c>
      <c r="F210" s="0">
        <f>IF($E210=1,"New",IF($E210=15,"Full",""))</f>
        <v/>
      </c>
      <c r="H210" s="0">
        <f>IF($E210="","",IF(OR($E210=8,$E210=14,$E210=15,$E210=23,$E211=1,$E212=1),"Fast day",""))</f>
        <v/>
      </c>
      <c r="I210" s="0">
        <f>IFERROR(INDEX(lookup!$E:$E,MATCH($C210,lookup!$D:$D,0)),"")</f>
        <v/>
      </c>
      <c r="J210" s="0">
        <f>IF($I210="","",IF(OR($I210=1,$I210=5,$I210=9),IF($K210="","Long fast month","Long fast month (LEAP)"),""))</f>
        <v/>
      </c>
      <c r="K210" s="0">
        <f>IFERROR(IF(INDEX(lookup!$G:$G,MATCH($C210,lookup!$D:$D,0))="LEAP","LEAP MONTH - counts as month "&amp;$I210&amp;", flagged for review",""),"")</f>
        <v/>
      </c>
    </row>
    <row r="211">
      <c r="A211" s="12">
        <f>A210+1</f>
        <v/>
      </c>
      <c r="B211" s="0">
        <f>TEXT(A211,"ddd")</f>
        <v/>
      </c>
      <c r="C211" s="0">
        <f>IFERROR(INDEX(lunar_ref!$B:$B,MATCH($A211,lunar_ref!$A:$A,0)),"")</f>
        <v/>
      </c>
      <c r="D211" s="0">
        <f>IFERROR(INDEX(lunar_ref!$C:$C,MATCH($A211,lunar_ref!$A:$A,0)),"")</f>
        <v/>
      </c>
      <c r="E211" s="0">
        <f>_xlfn.XLOOKUP($D211,lookup!$A:$A,lookup!$B:$B)</f>
        <v/>
      </c>
      <c r="F211" s="0">
        <f>IF($E211=1,"New",IF($E211=15,"Full",""))</f>
        <v/>
      </c>
      <c r="H211" s="0">
        <f>IF($E211="","",IF(OR($E211=8,$E211=14,$E211=15,$E211=23,$E212=1,$E213=1),"Fast day",""))</f>
        <v/>
      </c>
      <c r="I211" s="0">
        <f>IFERROR(INDEX(lookup!$E:$E,MATCH($C211,lookup!$D:$D,0)),"")</f>
        <v/>
      </c>
      <c r="J211" s="0">
        <f>IF($I211="","",IF(OR($I211=1,$I211=5,$I211=9),IF($K211="","Long fast month","Long fast month (LEAP)"),""))</f>
        <v/>
      </c>
      <c r="K211" s="0">
        <f>IFERROR(IF(INDEX(lookup!$G:$G,MATCH($C211,lookup!$D:$D,0))="LEAP","LEAP MONTH - counts as month "&amp;$I211&amp;", flagged for review",""),"")</f>
        <v/>
      </c>
    </row>
    <row r="212">
      <c r="A212" s="12">
        <f>A211+1</f>
        <v/>
      </c>
      <c r="B212" s="0">
        <f>TEXT(A212,"ddd")</f>
        <v/>
      </c>
      <c r="C212" s="0">
        <f>IFERROR(INDEX(lunar_ref!$B:$B,MATCH($A212,lunar_ref!$A:$A,0)),"")</f>
        <v/>
      </c>
      <c r="D212" s="0">
        <f>IFERROR(INDEX(lunar_ref!$C:$C,MATCH($A212,lunar_ref!$A:$A,0)),"")</f>
        <v/>
      </c>
      <c r="E212" s="0">
        <f>_xlfn.XLOOKUP($D212,lookup!$A:$A,lookup!$B:$B)</f>
        <v/>
      </c>
      <c r="F212" s="0">
        <f>IF($E212=1,"New",IF($E212=15,"Full",""))</f>
        <v/>
      </c>
      <c r="H212" s="0">
        <f>IF($E212="","",IF(OR($E212=8,$E212=14,$E212=15,$E212=23,$E213=1,$E214=1),"Fast day",""))</f>
        <v/>
      </c>
      <c r="I212" s="0">
        <f>IFERROR(INDEX(lookup!$E:$E,MATCH($C212,lookup!$D:$D,0)),"")</f>
        <v/>
      </c>
      <c r="J212" s="0">
        <f>IF($I212="","",IF(OR($I212=1,$I212=5,$I212=9),IF($K212="","Long fast month","Long fast month (LEAP)"),""))</f>
        <v/>
      </c>
      <c r="K212" s="0">
        <f>IFERROR(IF(INDEX(lookup!$G:$G,MATCH($C212,lookup!$D:$D,0))="LEAP","LEAP MONTH - counts as month "&amp;$I212&amp;", flagged for review",""),"")</f>
        <v/>
      </c>
    </row>
    <row r="213">
      <c r="A213" s="12">
        <f>A212+1</f>
        <v/>
      </c>
      <c r="B213" s="0">
        <f>TEXT(A213,"ddd")</f>
        <v/>
      </c>
      <c r="C213" s="0">
        <f>IFERROR(INDEX(lunar_ref!$B:$B,MATCH($A213,lunar_ref!$A:$A,0)),"")</f>
        <v/>
      </c>
      <c r="D213" s="0">
        <f>IFERROR(INDEX(lunar_ref!$C:$C,MATCH($A213,lunar_ref!$A:$A,0)),"")</f>
        <v/>
      </c>
      <c r="E213" s="0">
        <f>_xlfn.XLOOKUP($D213,lookup!$A:$A,lookup!$B:$B)</f>
        <v/>
      </c>
      <c r="F213" s="0">
        <f>IF($E213=1,"New",IF($E213=15,"Full",""))</f>
        <v/>
      </c>
      <c r="H213" s="0">
        <f>IF($E213="","",IF(OR($E213=8,$E213=14,$E213=15,$E213=23,$E214=1,$E215=1),"Fast day",""))</f>
        <v/>
      </c>
      <c r="I213" s="0">
        <f>IFERROR(INDEX(lookup!$E:$E,MATCH($C213,lookup!$D:$D,0)),"")</f>
        <v/>
      </c>
      <c r="J213" s="0">
        <f>IF($I213="","",IF(OR($I213=1,$I213=5,$I213=9),IF($K213="","Long fast month","Long fast month (LEAP)"),""))</f>
        <v/>
      </c>
      <c r="K213" s="0">
        <f>IFERROR(IF(INDEX(lookup!$G:$G,MATCH($C213,lookup!$D:$D,0))="LEAP","LEAP MONTH - counts as month "&amp;$I213&amp;", flagged for review",""),"")</f>
        <v/>
      </c>
    </row>
    <row r="214">
      <c r="A214" s="12">
        <f>A213+1</f>
        <v/>
      </c>
      <c r="B214" s="0">
        <f>TEXT(A214,"ddd")</f>
        <v/>
      </c>
      <c r="C214" s="0">
        <f>IFERROR(INDEX(lunar_ref!$B:$B,MATCH($A214,lunar_ref!$A:$A,0)),"")</f>
        <v/>
      </c>
      <c r="D214" s="0">
        <f>IFERROR(INDEX(lunar_ref!$C:$C,MATCH($A214,lunar_ref!$A:$A,0)),"")</f>
        <v/>
      </c>
      <c r="E214" s="0">
        <f>_xlfn.XLOOKUP($D214,lookup!$A:$A,lookup!$B:$B)</f>
        <v/>
      </c>
      <c r="F214" s="0">
        <f>IF($E214=1,"New",IF($E214=15,"Full",""))</f>
        <v/>
      </c>
      <c r="H214" s="0">
        <f>IF($E214="","",IF(OR($E214=8,$E214=14,$E214=15,$E214=23,$E215=1,$E216=1),"Fast day",""))</f>
        <v/>
      </c>
      <c r="I214" s="0">
        <f>IFERROR(INDEX(lookup!$E:$E,MATCH($C214,lookup!$D:$D,0)),"")</f>
        <v/>
      </c>
      <c r="J214" s="0">
        <f>IF($I214="","",IF(OR($I214=1,$I214=5,$I214=9),IF($K214="","Long fast month","Long fast month (LEAP)"),""))</f>
        <v/>
      </c>
      <c r="K214" s="0">
        <f>IFERROR(IF(INDEX(lookup!$G:$G,MATCH($C214,lookup!$D:$D,0))="LEAP","LEAP MONTH - counts as month "&amp;$I214&amp;", flagged for review",""),"")</f>
        <v/>
      </c>
    </row>
    <row r="215">
      <c r="A215" s="12">
        <f>A214+1</f>
        <v/>
      </c>
      <c r="B215" s="0">
        <f>TEXT(A215,"ddd")</f>
        <v/>
      </c>
      <c r="C215" s="0">
        <f>IFERROR(INDEX(lunar_ref!$B:$B,MATCH($A215,lunar_ref!$A:$A,0)),"")</f>
        <v/>
      </c>
      <c r="D215" s="0">
        <f>IFERROR(INDEX(lunar_ref!$C:$C,MATCH($A215,lunar_ref!$A:$A,0)),"")</f>
        <v/>
      </c>
      <c r="E215" s="0">
        <f>_xlfn.XLOOKUP($D215,lookup!$A:$A,lookup!$B:$B)</f>
        <v/>
      </c>
      <c r="F215" s="0">
        <f>IF($E215=1,"New",IF($E215=15,"Full",""))</f>
        <v/>
      </c>
      <c r="H215" s="0">
        <f>IF($E215="","",IF(OR($E215=8,$E215=14,$E215=15,$E215=23,$E216=1,$E217=1),"Fast day",""))</f>
        <v/>
      </c>
      <c r="I215" s="0">
        <f>IFERROR(INDEX(lookup!$E:$E,MATCH($C215,lookup!$D:$D,0)),"")</f>
        <v/>
      </c>
      <c r="J215" s="0">
        <f>IF($I215="","",IF(OR($I215=1,$I215=5,$I215=9),IF($K215="","Long fast month","Long fast month (LEAP)"),""))</f>
        <v/>
      </c>
      <c r="K215" s="0">
        <f>IFERROR(IF(INDEX(lookup!$G:$G,MATCH($C215,lookup!$D:$D,0))="LEAP","LEAP MONTH - counts as month "&amp;$I215&amp;", flagged for review",""),"")</f>
        <v/>
      </c>
    </row>
    <row r="216">
      <c r="A216" s="12">
        <f>A215+1</f>
        <v/>
      </c>
      <c r="B216" s="0">
        <f>TEXT(A216,"ddd")</f>
        <v/>
      </c>
      <c r="C216" s="0">
        <f>IFERROR(INDEX(lunar_ref!$B:$B,MATCH($A216,lunar_ref!$A:$A,0)),"")</f>
        <v/>
      </c>
      <c r="D216" s="0">
        <f>IFERROR(INDEX(lunar_ref!$C:$C,MATCH($A216,lunar_ref!$A:$A,0)),"")</f>
        <v/>
      </c>
      <c r="E216" s="0">
        <f>_xlfn.XLOOKUP($D216,lookup!$A:$A,lookup!$B:$B)</f>
        <v/>
      </c>
      <c r="F216" s="0">
        <f>IF($E216=1,"New",IF($E216=15,"Full",""))</f>
        <v/>
      </c>
      <c r="H216" s="0">
        <f>IF($E216="","",IF(OR($E216=8,$E216=14,$E216=15,$E216=23,$E217=1,$E218=1),"Fast day",""))</f>
        <v/>
      </c>
      <c r="I216" s="0">
        <f>IFERROR(INDEX(lookup!$E:$E,MATCH($C216,lookup!$D:$D,0)),"")</f>
        <v/>
      </c>
      <c r="J216" s="0">
        <f>IF($I216="","",IF(OR($I216=1,$I216=5,$I216=9),IF($K216="","Long fast month","Long fast month (LEAP)"),""))</f>
        <v/>
      </c>
      <c r="K216" s="0">
        <f>IFERROR(IF(INDEX(lookup!$G:$G,MATCH($C216,lookup!$D:$D,0))="LEAP","LEAP MONTH - counts as month "&amp;$I216&amp;", flagged for review",""),"")</f>
        <v/>
      </c>
    </row>
    <row r="217">
      <c r="A217" s="12">
        <f>A216+1</f>
        <v/>
      </c>
      <c r="B217" s="0">
        <f>TEXT(A217,"ddd")</f>
        <v/>
      </c>
      <c r="C217" s="0">
        <f>IFERROR(INDEX(lunar_ref!$B:$B,MATCH($A217,lunar_ref!$A:$A,0)),"")</f>
        <v/>
      </c>
      <c r="D217" s="0">
        <f>IFERROR(INDEX(lunar_ref!$C:$C,MATCH($A217,lunar_ref!$A:$A,0)),"")</f>
        <v/>
      </c>
      <c r="E217" s="0">
        <f>_xlfn.XLOOKUP($D217,lookup!$A:$A,lookup!$B:$B)</f>
        <v/>
      </c>
      <c r="F217" s="0">
        <f>IF($E217=1,"New",IF($E217=15,"Full",""))</f>
        <v/>
      </c>
      <c r="H217" s="0">
        <f>IF($E217="","",IF(OR($E217=8,$E217=14,$E217=15,$E217=23,$E218=1,$E219=1),"Fast day",""))</f>
        <v/>
      </c>
      <c r="I217" s="0">
        <f>IFERROR(INDEX(lookup!$E:$E,MATCH($C217,lookup!$D:$D,0)),"")</f>
        <v/>
      </c>
      <c r="J217" s="0">
        <f>IF($I217="","",IF(OR($I217=1,$I217=5,$I217=9),IF($K217="","Long fast month","Long fast month (LEAP)"),""))</f>
        <v/>
      </c>
      <c r="K217" s="0">
        <f>IFERROR(IF(INDEX(lookup!$G:$G,MATCH($C217,lookup!$D:$D,0))="LEAP","LEAP MONTH - counts as month "&amp;$I217&amp;", flagged for review",""),"")</f>
        <v/>
      </c>
    </row>
    <row r="218">
      <c r="A218" s="12">
        <f>A217+1</f>
        <v/>
      </c>
      <c r="B218" s="0">
        <f>TEXT(A218,"ddd")</f>
        <v/>
      </c>
      <c r="C218" s="0">
        <f>IFERROR(INDEX(lunar_ref!$B:$B,MATCH($A218,lunar_ref!$A:$A,0)),"")</f>
        <v/>
      </c>
      <c r="D218" s="0">
        <f>IFERROR(INDEX(lunar_ref!$C:$C,MATCH($A218,lunar_ref!$A:$A,0)),"")</f>
        <v/>
      </c>
      <c r="E218" s="0">
        <f>_xlfn.XLOOKUP($D218,lookup!$A:$A,lookup!$B:$B)</f>
        <v/>
      </c>
      <c r="F218" s="0">
        <f>IF($E218=1,"New",IF($E218=15,"Full",""))</f>
        <v/>
      </c>
      <c r="H218" s="0">
        <f>IF($E218="","",IF(OR($E218=8,$E218=14,$E218=15,$E218=23,$E219=1,$E220=1),"Fast day",""))</f>
        <v/>
      </c>
      <c r="I218" s="0">
        <f>IFERROR(INDEX(lookup!$E:$E,MATCH($C218,lookup!$D:$D,0)),"")</f>
        <v/>
      </c>
      <c r="J218" s="0">
        <f>IF($I218="","",IF(OR($I218=1,$I218=5,$I218=9),IF($K218="","Long fast month","Long fast month (LEAP)"),""))</f>
        <v/>
      </c>
      <c r="K218" s="0">
        <f>IFERROR(IF(INDEX(lookup!$G:$G,MATCH($C218,lookup!$D:$D,0))="LEAP","LEAP MONTH - counts as month "&amp;$I218&amp;", flagged for review",""),"")</f>
        <v/>
      </c>
    </row>
    <row r="219">
      <c r="A219" s="12">
        <f>A218+1</f>
        <v/>
      </c>
      <c r="B219" s="0">
        <f>TEXT(A219,"ddd")</f>
        <v/>
      </c>
      <c r="C219" s="0">
        <f>IFERROR(INDEX(lunar_ref!$B:$B,MATCH($A219,lunar_ref!$A:$A,0)),"")</f>
        <v/>
      </c>
      <c r="D219" s="0">
        <f>IFERROR(INDEX(lunar_ref!$C:$C,MATCH($A219,lunar_ref!$A:$A,0)),"")</f>
        <v/>
      </c>
      <c r="E219" s="0">
        <f>_xlfn.XLOOKUP($D219,lookup!$A:$A,lookup!$B:$B)</f>
        <v/>
      </c>
      <c r="F219" s="0">
        <f>IF($E219=1,"New",IF($E219=15,"Full",""))</f>
        <v/>
      </c>
      <c r="H219" s="0">
        <f>IF($E219="","",IF(OR($E219=8,$E219=14,$E219=15,$E219=23,$E220=1,$E221=1),"Fast day",""))</f>
        <v/>
      </c>
      <c r="I219" s="0">
        <f>IFERROR(INDEX(lookup!$E:$E,MATCH($C219,lookup!$D:$D,0)),"")</f>
        <v/>
      </c>
      <c r="J219" s="0">
        <f>IF($I219="","",IF(OR($I219=1,$I219=5,$I219=9),IF($K219="","Long fast month","Long fast month (LEAP)"),""))</f>
        <v/>
      </c>
      <c r="K219" s="0">
        <f>IFERROR(IF(INDEX(lookup!$G:$G,MATCH($C219,lookup!$D:$D,0))="LEAP","LEAP MONTH - counts as month "&amp;$I219&amp;", flagged for review",""),"")</f>
        <v/>
      </c>
    </row>
    <row r="220">
      <c r="A220" s="12">
        <f>A219+1</f>
        <v/>
      </c>
      <c r="B220" s="0">
        <f>TEXT(A220,"ddd")</f>
        <v/>
      </c>
      <c r="C220" s="0">
        <f>IFERROR(INDEX(lunar_ref!$B:$B,MATCH($A220,lunar_ref!$A:$A,0)),"")</f>
        <v/>
      </c>
      <c r="D220" s="0">
        <f>IFERROR(INDEX(lunar_ref!$C:$C,MATCH($A220,lunar_ref!$A:$A,0)),"")</f>
        <v/>
      </c>
      <c r="E220" s="0">
        <f>_xlfn.XLOOKUP($D220,lookup!$A:$A,lookup!$B:$B)</f>
        <v/>
      </c>
      <c r="F220" s="0">
        <f>IF($E220=1,"New",IF($E220=15,"Full",""))</f>
        <v/>
      </c>
      <c r="H220" s="0">
        <f>IF($E220="","",IF(OR($E220=8,$E220=14,$E220=15,$E220=23,$E221=1,$E222=1),"Fast day",""))</f>
        <v/>
      </c>
      <c r="I220" s="0">
        <f>IFERROR(INDEX(lookup!$E:$E,MATCH($C220,lookup!$D:$D,0)),"")</f>
        <v/>
      </c>
      <c r="J220" s="0">
        <f>IF($I220="","",IF(OR($I220=1,$I220=5,$I220=9),IF($K220="","Long fast month","Long fast month (LEAP)"),""))</f>
        <v/>
      </c>
      <c r="K220" s="0">
        <f>IFERROR(IF(INDEX(lookup!$G:$G,MATCH($C220,lookup!$D:$D,0))="LEAP","LEAP MONTH - counts as month "&amp;$I220&amp;", flagged for review",""),"")</f>
        <v/>
      </c>
    </row>
    <row r="221">
      <c r="A221" s="12">
        <f>A220+1</f>
        <v/>
      </c>
      <c r="B221" s="0">
        <f>TEXT(A221,"ddd")</f>
        <v/>
      </c>
      <c r="C221" s="0">
        <f>IFERROR(INDEX(lunar_ref!$B:$B,MATCH($A221,lunar_ref!$A:$A,0)),"")</f>
        <v/>
      </c>
      <c r="D221" s="0">
        <f>IFERROR(INDEX(lunar_ref!$C:$C,MATCH($A221,lunar_ref!$A:$A,0)),"")</f>
        <v/>
      </c>
      <c r="E221" s="0">
        <f>_xlfn.XLOOKUP($D221,lookup!$A:$A,lookup!$B:$B)</f>
        <v/>
      </c>
      <c r="F221" s="0">
        <f>IF($E221=1,"New",IF($E221=15,"Full",""))</f>
        <v/>
      </c>
      <c r="H221" s="0">
        <f>IF($E221="","",IF(OR($E221=8,$E221=14,$E221=15,$E221=23,$E222=1,$E223=1),"Fast day",""))</f>
        <v/>
      </c>
      <c r="I221" s="0">
        <f>IFERROR(INDEX(lookup!$E:$E,MATCH($C221,lookup!$D:$D,0)),"")</f>
        <v/>
      </c>
      <c r="J221" s="0">
        <f>IF($I221="","",IF(OR($I221=1,$I221=5,$I221=9),IF($K221="","Long fast month","Long fast month (LEAP)"),""))</f>
        <v/>
      </c>
      <c r="K221" s="0">
        <f>IFERROR(IF(INDEX(lookup!$G:$G,MATCH($C221,lookup!$D:$D,0))="LEAP","LEAP MONTH - counts as month "&amp;$I221&amp;", flagged for review",""),"")</f>
        <v/>
      </c>
    </row>
    <row r="222">
      <c r="A222" s="12">
        <f>A221+1</f>
        <v/>
      </c>
      <c r="B222" s="0">
        <f>TEXT(A222,"ddd")</f>
        <v/>
      </c>
      <c r="C222" s="0">
        <f>IFERROR(INDEX(lunar_ref!$B:$B,MATCH($A222,lunar_ref!$A:$A,0)),"")</f>
        <v/>
      </c>
      <c r="D222" s="0">
        <f>IFERROR(INDEX(lunar_ref!$C:$C,MATCH($A222,lunar_ref!$A:$A,0)),"")</f>
        <v/>
      </c>
      <c r="E222" s="0">
        <f>_xlfn.XLOOKUP($D222,lookup!$A:$A,lookup!$B:$B)</f>
        <v/>
      </c>
      <c r="F222" s="0">
        <f>IF($E222=1,"New",IF($E222=15,"Full",""))</f>
        <v/>
      </c>
      <c r="H222" s="0">
        <f>IF($E222="","",IF(OR($E222=8,$E222=14,$E222=15,$E222=23,$E223=1,$E224=1),"Fast day",""))</f>
        <v/>
      </c>
      <c r="I222" s="0">
        <f>IFERROR(INDEX(lookup!$E:$E,MATCH($C222,lookup!$D:$D,0)),"")</f>
        <v/>
      </c>
      <c r="J222" s="0">
        <f>IF($I222="","",IF(OR($I222=1,$I222=5,$I222=9),IF($K222="","Long fast month","Long fast month (LEAP)"),""))</f>
        <v/>
      </c>
      <c r="K222" s="0">
        <f>IFERROR(IF(INDEX(lookup!$G:$G,MATCH($C222,lookup!$D:$D,0))="LEAP","LEAP MONTH - counts as month "&amp;$I222&amp;", flagged for review",""),"")</f>
        <v/>
      </c>
    </row>
    <row r="223">
      <c r="A223" s="12">
        <f>A222+1</f>
        <v/>
      </c>
      <c r="B223" s="0">
        <f>TEXT(A223,"ddd")</f>
        <v/>
      </c>
      <c r="C223" s="0">
        <f>IFERROR(INDEX(lunar_ref!$B:$B,MATCH($A223,lunar_ref!$A:$A,0)),"")</f>
        <v/>
      </c>
      <c r="D223" s="0">
        <f>IFERROR(INDEX(lunar_ref!$C:$C,MATCH($A223,lunar_ref!$A:$A,0)),"")</f>
        <v/>
      </c>
      <c r="E223" s="0">
        <f>_xlfn.XLOOKUP($D223,lookup!$A:$A,lookup!$B:$B)</f>
        <v/>
      </c>
      <c r="F223" s="0">
        <f>IF($E223=1,"New",IF($E223=15,"Full",""))</f>
        <v/>
      </c>
      <c r="H223" s="0">
        <f>IF($E223="","",IF(OR($E223=8,$E223=14,$E223=15,$E223=23,$E224=1,$E225=1),"Fast day",""))</f>
        <v/>
      </c>
      <c r="I223" s="0">
        <f>IFERROR(INDEX(lookup!$E:$E,MATCH($C223,lookup!$D:$D,0)),"")</f>
        <v/>
      </c>
      <c r="J223" s="0">
        <f>IF($I223="","",IF(OR($I223=1,$I223=5,$I223=9),IF($K223="","Long fast month","Long fast month (LEAP)"),""))</f>
        <v/>
      </c>
      <c r="K223" s="0">
        <f>IFERROR(IF(INDEX(lookup!$G:$G,MATCH($C223,lookup!$D:$D,0))="LEAP","LEAP MONTH - counts as month "&amp;$I223&amp;", flagged for review",""),"")</f>
        <v/>
      </c>
    </row>
    <row r="224">
      <c r="A224" s="12">
        <f>A223+1</f>
        <v/>
      </c>
      <c r="B224" s="0">
        <f>TEXT(A224,"ddd")</f>
        <v/>
      </c>
      <c r="C224" s="0">
        <f>IFERROR(INDEX(lunar_ref!$B:$B,MATCH($A224,lunar_ref!$A:$A,0)),"")</f>
        <v/>
      </c>
      <c r="D224" s="0">
        <f>IFERROR(INDEX(lunar_ref!$C:$C,MATCH($A224,lunar_ref!$A:$A,0)),"")</f>
        <v/>
      </c>
      <c r="E224" s="0">
        <f>_xlfn.XLOOKUP($D224,lookup!$A:$A,lookup!$B:$B)</f>
        <v/>
      </c>
      <c r="F224" s="0">
        <f>IF($E224=1,"New",IF($E224=15,"Full",""))</f>
        <v/>
      </c>
      <c r="H224" s="0">
        <f>IF($E224="","",IF(OR($E224=8,$E224=14,$E224=15,$E224=23,$E225=1,$E226=1),"Fast day",""))</f>
        <v/>
      </c>
      <c r="I224" s="0">
        <f>IFERROR(INDEX(lookup!$E:$E,MATCH($C224,lookup!$D:$D,0)),"")</f>
        <v/>
      </c>
      <c r="J224" s="0">
        <f>IF($I224="","",IF(OR($I224=1,$I224=5,$I224=9),IF($K224="","Long fast month","Long fast month (LEAP)"),""))</f>
        <v/>
      </c>
      <c r="K224" s="0">
        <f>IFERROR(IF(INDEX(lookup!$G:$G,MATCH($C224,lookup!$D:$D,0))="LEAP","LEAP MONTH - counts as month "&amp;$I224&amp;", flagged for review",""),"")</f>
        <v/>
      </c>
    </row>
    <row r="225">
      <c r="A225" s="12">
        <f>A224+1</f>
        <v/>
      </c>
      <c r="B225" s="0">
        <f>TEXT(A225,"ddd")</f>
        <v/>
      </c>
      <c r="C225" s="0">
        <f>IFERROR(INDEX(lunar_ref!$B:$B,MATCH($A225,lunar_ref!$A:$A,0)),"")</f>
        <v/>
      </c>
      <c r="D225" s="0">
        <f>IFERROR(INDEX(lunar_ref!$C:$C,MATCH($A225,lunar_ref!$A:$A,0)),"")</f>
        <v/>
      </c>
      <c r="E225" s="0">
        <f>_xlfn.XLOOKUP($D225,lookup!$A:$A,lookup!$B:$B)</f>
        <v/>
      </c>
      <c r="F225" s="0">
        <f>IF($E225=1,"New",IF($E225=15,"Full",""))</f>
        <v/>
      </c>
      <c r="H225" s="0">
        <f>IF($E225="","",IF(OR($E225=8,$E225=14,$E225=15,$E225=23,$E226=1,$E227=1),"Fast day",""))</f>
        <v/>
      </c>
      <c r="I225" s="0">
        <f>IFERROR(INDEX(lookup!$E:$E,MATCH($C225,lookup!$D:$D,0)),"")</f>
        <v/>
      </c>
      <c r="J225" s="0">
        <f>IF($I225="","",IF(OR($I225=1,$I225=5,$I225=9),IF($K225="","Long fast month","Long fast month (LEAP)"),""))</f>
        <v/>
      </c>
      <c r="K225" s="0">
        <f>IFERROR(IF(INDEX(lookup!$G:$G,MATCH($C225,lookup!$D:$D,0))="LEAP","LEAP MONTH - counts as month "&amp;$I225&amp;", flagged for review",""),"")</f>
        <v/>
      </c>
    </row>
    <row r="226">
      <c r="A226" s="12">
        <f>A225+1</f>
        <v/>
      </c>
      <c r="B226" s="0">
        <f>TEXT(A226,"ddd")</f>
        <v/>
      </c>
      <c r="C226" s="0">
        <f>IFERROR(INDEX(lunar_ref!$B:$B,MATCH($A226,lunar_ref!$A:$A,0)),"")</f>
        <v/>
      </c>
      <c r="D226" s="0">
        <f>IFERROR(INDEX(lunar_ref!$C:$C,MATCH($A226,lunar_ref!$A:$A,0)),"")</f>
        <v/>
      </c>
      <c r="E226" s="0">
        <f>_xlfn.XLOOKUP($D226,lookup!$A:$A,lookup!$B:$B)</f>
        <v/>
      </c>
      <c r="F226" s="0">
        <f>IF($E226=1,"New",IF($E226=15,"Full",""))</f>
        <v/>
      </c>
      <c r="H226" s="0">
        <f>IF($E226="","",IF(OR($E226=8,$E226=14,$E226=15,$E226=23,$E227=1,$E228=1),"Fast day",""))</f>
        <v/>
      </c>
      <c r="I226" s="0">
        <f>IFERROR(INDEX(lookup!$E:$E,MATCH($C226,lookup!$D:$D,0)),"")</f>
        <v/>
      </c>
      <c r="J226" s="0">
        <f>IF($I226="","",IF(OR($I226=1,$I226=5,$I226=9),IF($K226="","Long fast month","Long fast month (LEAP)"),""))</f>
        <v/>
      </c>
      <c r="K226" s="0">
        <f>IFERROR(IF(INDEX(lookup!$G:$G,MATCH($C226,lookup!$D:$D,0))="LEAP","LEAP MONTH - counts as month "&amp;$I226&amp;", flagged for review",""),"")</f>
        <v/>
      </c>
    </row>
    <row r="227">
      <c r="A227" s="12">
        <f>A226+1</f>
        <v/>
      </c>
      <c r="B227" s="0">
        <f>TEXT(A227,"ddd")</f>
        <v/>
      </c>
      <c r="C227" s="0">
        <f>IFERROR(INDEX(lunar_ref!$B:$B,MATCH($A227,lunar_ref!$A:$A,0)),"")</f>
        <v/>
      </c>
      <c r="D227" s="0">
        <f>IFERROR(INDEX(lunar_ref!$C:$C,MATCH($A227,lunar_ref!$A:$A,0)),"")</f>
        <v/>
      </c>
      <c r="E227" s="0">
        <f>_xlfn.XLOOKUP($D227,lookup!$A:$A,lookup!$B:$B)</f>
        <v/>
      </c>
      <c r="F227" s="0">
        <f>IF($E227=1,"New",IF($E227=15,"Full",""))</f>
        <v/>
      </c>
      <c r="H227" s="0">
        <f>IF($E227="","",IF(OR($E227=8,$E227=14,$E227=15,$E227=23,$E228=1,$E229=1),"Fast day",""))</f>
        <v/>
      </c>
      <c r="I227" s="0">
        <f>IFERROR(INDEX(lookup!$E:$E,MATCH($C227,lookup!$D:$D,0)),"")</f>
        <v/>
      </c>
      <c r="J227" s="0">
        <f>IF($I227="","",IF(OR($I227=1,$I227=5,$I227=9),IF($K227="","Long fast month","Long fast month (LEAP)"),""))</f>
        <v/>
      </c>
      <c r="K227" s="0">
        <f>IFERROR(IF(INDEX(lookup!$G:$G,MATCH($C227,lookup!$D:$D,0))="LEAP","LEAP MONTH - counts as month "&amp;$I227&amp;", flagged for review",""),"")</f>
        <v/>
      </c>
    </row>
    <row r="228">
      <c r="A228" s="12">
        <f>A227+1</f>
        <v/>
      </c>
      <c r="B228" s="0">
        <f>TEXT(A228,"ddd")</f>
        <v/>
      </c>
      <c r="C228" s="0">
        <f>IFERROR(INDEX(lunar_ref!$B:$B,MATCH($A228,lunar_ref!$A:$A,0)),"")</f>
        <v/>
      </c>
      <c r="D228" s="0">
        <f>IFERROR(INDEX(lunar_ref!$C:$C,MATCH($A228,lunar_ref!$A:$A,0)),"")</f>
        <v/>
      </c>
      <c r="E228" s="0">
        <f>_xlfn.XLOOKUP($D228,lookup!$A:$A,lookup!$B:$B)</f>
        <v/>
      </c>
      <c r="F228" s="0">
        <f>IF($E228=1,"New",IF($E228=15,"Full",""))</f>
        <v/>
      </c>
      <c r="H228" s="0">
        <f>IF($E228="","",IF(OR($E228=8,$E228=14,$E228=15,$E228=23,$E229=1,$E230=1),"Fast day",""))</f>
        <v/>
      </c>
      <c r="I228" s="0">
        <f>IFERROR(INDEX(lookup!$E:$E,MATCH($C228,lookup!$D:$D,0)),"")</f>
        <v/>
      </c>
      <c r="J228" s="0">
        <f>IF($I228="","",IF(OR($I228=1,$I228=5,$I228=9),IF($K228="","Long fast month","Long fast month (LEAP)"),""))</f>
        <v/>
      </c>
      <c r="K228" s="0">
        <f>IFERROR(IF(INDEX(lookup!$G:$G,MATCH($C228,lookup!$D:$D,0))="LEAP","LEAP MONTH - counts as month "&amp;$I228&amp;", flagged for review",""),"")</f>
        <v/>
      </c>
    </row>
    <row r="229">
      <c r="A229" s="12">
        <f>A228+1</f>
        <v/>
      </c>
      <c r="B229" s="0">
        <f>TEXT(A229,"ddd")</f>
        <v/>
      </c>
      <c r="C229" s="0">
        <f>IFERROR(INDEX(lunar_ref!$B:$B,MATCH($A229,lunar_ref!$A:$A,0)),"")</f>
        <v/>
      </c>
      <c r="D229" s="0">
        <f>IFERROR(INDEX(lunar_ref!$C:$C,MATCH($A229,lunar_ref!$A:$A,0)),"")</f>
        <v/>
      </c>
      <c r="E229" s="0">
        <f>_xlfn.XLOOKUP($D229,lookup!$A:$A,lookup!$B:$B)</f>
        <v/>
      </c>
      <c r="F229" s="0">
        <f>IF($E229=1,"New",IF($E229=15,"Full",""))</f>
        <v/>
      </c>
      <c r="H229" s="0">
        <f>IF($E229="","",IF(OR($E229=8,$E229=14,$E229=15,$E229=23,$E230=1,$E231=1),"Fast day",""))</f>
        <v/>
      </c>
      <c r="I229" s="0">
        <f>IFERROR(INDEX(lookup!$E:$E,MATCH($C229,lookup!$D:$D,0)),"")</f>
        <v/>
      </c>
      <c r="J229" s="0">
        <f>IF($I229="","",IF(OR($I229=1,$I229=5,$I229=9),IF($K229="","Long fast month","Long fast month (LEAP)"),""))</f>
        <v/>
      </c>
      <c r="K229" s="0">
        <f>IFERROR(IF(INDEX(lookup!$G:$G,MATCH($C229,lookup!$D:$D,0))="LEAP","LEAP MONTH - counts as month "&amp;$I229&amp;", flagged for review",""),"")</f>
        <v/>
      </c>
    </row>
    <row r="230">
      <c r="A230" s="12">
        <f>A229+1</f>
        <v/>
      </c>
      <c r="B230" s="0">
        <f>TEXT(A230,"ddd")</f>
        <v/>
      </c>
      <c r="C230" s="0">
        <f>IFERROR(INDEX(lunar_ref!$B:$B,MATCH($A230,lunar_ref!$A:$A,0)),"")</f>
        <v/>
      </c>
      <c r="D230" s="0">
        <f>IFERROR(INDEX(lunar_ref!$C:$C,MATCH($A230,lunar_ref!$A:$A,0)),"")</f>
        <v/>
      </c>
      <c r="E230" s="0">
        <f>_xlfn.XLOOKUP($D230,lookup!$A:$A,lookup!$B:$B)</f>
        <v/>
      </c>
      <c r="F230" s="0">
        <f>IF($E230=1,"New",IF($E230=15,"Full",""))</f>
        <v/>
      </c>
      <c r="H230" s="0">
        <f>IF($E230="","",IF(OR($E230=8,$E230=14,$E230=15,$E230=23,$E231=1,$E232=1),"Fast day",""))</f>
        <v/>
      </c>
      <c r="I230" s="0">
        <f>IFERROR(INDEX(lookup!$E:$E,MATCH($C230,lookup!$D:$D,0)),"")</f>
        <v/>
      </c>
      <c r="J230" s="0">
        <f>IF($I230="","",IF(OR($I230=1,$I230=5,$I230=9),IF($K230="","Long fast month","Long fast month (LEAP)"),""))</f>
        <v/>
      </c>
      <c r="K230" s="0">
        <f>IFERROR(IF(INDEX(lookup!$G:$G,MATCH($C230,lookup!$D:$D,0))="LEAP","LEAP MONTH - counts as month "&amp;$I230&amp;", flagged for review",""),"")</f>
        <v/>
      </c>
    </row>
    <row r="231">
      <c r="A231" s="12">
        <f>A230+1</f>
        <v/>
      </c>
      <c r="B231" s="0">
        <f>TEXT(A231,"ddd")</f>
        <v/>
      </c>
      <c r="C231" s="0">
        <f>IFERROR(INDEX(lunar_ref!$B:$B,MATCH($A231,lunar_ref!$A:$A,0)),"")</f>
        <v/>
      </c>
      <c r="D231" s="0">
        <f>IFERROR(INDEX(lunar_ref!$C:$C,MATCH($A231,lunar_ref!$A:$A,0)),"")</f>
        <v/>
      </c>
      <c r="E231" s="0">
        <f>_xlfn.XLOOKUP($D231,lookup!$A:$A,lookup!$B:$B)</f>
        <v/>
      </c>
      <c r="F231" s="0">
        <f>IF($E231=1,"New",IF($E231=15,"Full",""))</f>
        <v/>
      </c>
      <c r="H231" s="0">
        <f>IF($E231="","",IF(OR($E231=8,$E231=14,$E231=15,$E231=23,$E232=1,$E233=1),"Fast day",""))</f>
        <v/>
      </c>
      <c r="I231" s="0">
        <f>IFERROR(INDEX(lookup!$E:$E,MATCH($C231,lookup!$D:$D,0)),"")</f>
        <v/>
      </c>
      <c r="J231" s="0">
        <f>IF($I231="","",IF(OR($I231=1,$I231=5,$I231=9),IF($K231="","Long fast month","Long fast month (LEAP)"),""))</f>
        <v/>
      </c>
      <c r="K231" s="0">
        <f>IFERROR(IF(INDEX(lookup!$G:$G,MATCH($C231,lookup!$D:$D,0))="LEAP","LEAP MONTH - counts as month "&amp;$I231&amp;", flagged for review",""),"")</f>
        <v/>
      </c>
    </row>
    <row r="232">
      <c r="A232" s="12">
        <f>A231+1</f>
        <v/>
      </c>
      <c r="B232" s="0">
        <f>TEXT(A232,"ddd")</f>
        <v/>
      </c>
      <c r="C232" s="0">
        <f>IFERROR(INDEX(lunar_ref!$B:$B,MATCH($A232,lunar_ref!$A:$A,0)),"")</f>
        <v/>
      </c>
      <c r="D232" s="0">
        <f>IFERROR(INDEX(lunar_ref!$C:$C,MATCH($A232,lunar_ref!$A:$A,0)),"")</f>
        <v/>
      </c>
      <c r="E232" s="0">
        <f>_xlfn.XLOOKUP($D232,lookup!$A:$A,lookup!$B:$B)</f>
        <v/>
      </c>
      <c r="F232" s="0">
        <f>IF($E232=1,"New",IF($E232=15,"Full",""))</f>
        <v/>
      </c>
      <c r="H232" s="0">
        <f>IF($E232="","",IF(OR($E232=8,$E232=14,$E232=15,$E232=23,$E233=1,$E234=1),"Fast day",""))</f>
        <v/>
      </c>
      <c r="I232" s="0">
        <f>IFERROR(INDEX(lookup!$E:$E,MATCH($C232,lookup!$D:$D,0)),"")</f>
        <v/>
      </c>
      <c r="J232" s="0">
        <f>IF($I232="","",IF(OR($I232=1,$I232=5,$I232=9),IF($K232="","Long fast month","Long fast month (LEAP)"),""))</f>
        <v/>
      </c>
      <c r="K232" s="0">
        <f>IFERROR(IF(INDEX(lookup!$G:$G,MATCH($C232,lookup!$D:$D,0))="LEAP","LEAP MONTH - counts as month "&amp;$I232&amp;", flagged for review",""),"")</f>
        <v/>
      </c>
    </row>
    <row r="233">
      <c r="A233" s="12">
        <f>A232+1</f>
        <v/>
      </c>
      <c r="B233" s="0">
        <f>TEXT(A233,"ddd")</f>
        <v/>
      </c>
      <c r="C233" s="0">
        <f>IFERROR(INDEX(lunar_ref!$B:$B,MATCH($A233,lunar_ref!$A:$A,0)),"")</f>
        <v/>
      </c>
      <c r="D233" s="0">
        <f>IFERROR(INDEX(lunar_ref!$C:$C,MATCH($A233,lunar_ref!$A:$A,0)),"")</f>
        <v/>
      </c>
      <c r="E233" s="0">
        <f>_xlfn.XLOOKUP($D233,lookup!$A:$A,lookup!$B:$B)</f>
        <v/>
      </c>
      <c r="F233" s="0">
        <f>IF($E233=1,"New",IF($E233=15,"Full",""))</f>
        <v/>
      </c>
      <c r="H233" s="0">
        <f>IF($E233="","",IF(OR($E233=8,$E233=14,$E233=15,$E233=23,$E234=1,$E235=1),"Fast day",""))</f>
        <v/>
      </c>
      <c r="I233" s="0">
        <f>IFERROR(INDEX(lookup!$E:$E,MATCH($C233,lookup!$D:$D,0)),"")</f>
        <v/>
      </c>
      <c r="J233" s="0">
        <f>IF($I233="","",IF(OR($I233=1,$I233=5,$I233=9),IF($K233="","Long fast month","Long fast month (LEAP)"),""))</f>
        <v/>
      </c>
      <c r="K233" s="0">
        <f>IFERROR(IF(INDEX(lookup!$G:$G,MATCH($C233,lookup!$D:$D,0))="LEAP","LEAP MONTH - counts as month "&amp;$I233&amp;", flagged for review",""),"")</f>
        <v/>
      </c>
    </row>
    <row r="234">
      <c r="A234" s="12">
        <f>A233+1</f>
        <v/>
      </c>
      <c r="B234" s="0">
        <f>TEXT(A234,"ddd")</f>
        <v/>
      </c>
      <c r="C234" s="0">
        <f>IFERROR(INDEX(lunar_ref!$B:$B,MATCH($A234,lunar_ref!$A:$A,0)),"")</f>
        <v/>
      </c>
      <c r="D234" s="0">
        <f>IFERROR(INDEX(lunar_ref!$C:$C,MATCH($A234,lunar_ref!$A:$A,0)),"")</f>
        <v/>
      </c>
      <c r="E234" s="0">
        <f>_xlfn.XLOOKUP($D234,lookup!$A:$A,lookup!$B:$B)</f>
        <v/>
      </c>
      <c r="F234" s="0">
        <f>IF($E234=1,"New",IF($E234=15,"Full",""))</f>
        <v/>
      </c>
      <c r="H234" s="0">
        <f>IF($E234="","",IF(OR($E234=8,$E234=14,$E234=15,$E234=23,$E235=1,$E236=1),"Fast day",""))</f>
        <v/>
      </c>
      <c r="I234" s="0">
        <f>IFERROR(INDEX(lookup!$E:$E,MATCH($C234,lookup!$D:$D,0)),"")</f>
        <v/>
      </c>
      <c r="J234" s="0">
        <f>IF($I234="","",IF(OR($I234=1,$I234=5,$I234=9),IF($K234="","Long fast month","Long fast month (LEAP)"),""))</f>
        <v/>
      </c>
      <c r="K234" s="0">
        <f>IFERROR(IF(INDEX(lookup!$G:$G,MATCH($C234,lookup!$D:$D,0))="LEAP","LEAP MONTH - counts as month "&amp;$I234&amp;", flagged for review",""),"")</f>
        <v/>
      </c>
    </row>
    <row r="235">
      <c r="A235" s="12">
        <f>A234+1</f>
        <v/>
      </c>
      <c r="B235" s="0">
        <f>TEXT(A235,"ddd")</f>
        <v/>
      </c>
      <c r="C235" s="0">
        <f>IFERROR(INDEX(lunar_ref!$B:$B,MATCH($A235,lunar_ref!$A:$A,0)),"")</f>
        <v/>
      </c>
      <c r="D235" s="0">
        <f>IFERROR(INDEX(lunar_ref!$C:$C,MATCH($A235,lunar_ref!$A:$A,0)),"")</f>
        <v/>
      </c>
      <c r="E235" s="0">
        <f>_xlfn.XLOOKUP($D235,lookup!$A:$A,lookup!$B:$B)</f>
        <v/>
      </c>
      <c r="F235" s="0">
        <f>IF($E235=1,"New",IF($E235=15,"Full",""))</f>
        <v/>
      </c>
      <c r="H235" s="0">
        <f>IF($E235="","",IF(OR($E235=8,$E235=14,$E235=15,$E235=23,$E236=1,$E237=1),"Fast day",""))</f>
        <v/>
      </c>
      <c r="I235" s="0">
        <f>IFERROR(INDEX(lookup!$E:$E,MATCH($C235,lookup!$D:$D,0)),"")</f>
        <v/>
      </c>
      <c r="J235" s="0">
        <f>IF($I235="","",IF(OR($I235=1,$I235=5,$I235=9),IF($K235="","Long fast month","Long fast month (LEAP)"),""))</f>
        <v/>
      </c>
      <c r="K235" s="0">
        <f>IFERROR(IF(INDEX(lookup!$G:$G,MATCH($C235,lookup!$D:$D,0))="LEAP","LEAP MONTH - counts as month "&amp;$I235&amp;", flagged for review",""),"")</f>
        <v/>
      </c>
    </row>
    <row r="236">
      <c r="A236" s="12">
        <f>A235+1</f>
        <v/>
      </c>
      <c r="B236" s="0">
        <f>TEXT(A236,"ddd")</f>
        <v/>
      </c>
      <c r="C236" s="0">
        <f>IFERROR(INDEX(lunar_ref!$B:$B,MATCH($A236,lunar_ref!$A:$A,0)),"")</f>
        <v/>
      </c>
      <c r="D236" s="0">
        <f>IFERROR(INDEX(lunar_ref!$C:$C,MATCH($A236,lunar_ref!$A:$A,0)),"")</f>
        <v/>
      </c>
      <c r="E236" s="0">
        <f>_xlfn.XLOOKUP($D236,lookup!$A:$A,lookup!$B:$B)</f>
        <v/>
      </c>
      <c r="F236" s="0">
        <f>IF($E236=1,"New",IF($E236=15,"Full",""))</f>
        <v/>
      </c>
      <c r="H236" s="0">
        <f>IF($E236="","",IF(OR($E236=8,$E236=14,$E236=15,$E236=23,$E237=1,$E238=1),"Fast day",""))</f>
        <v/>
      </c>
      <c r="I236" s="0">
        <f>IFERROR(INDEX(lookup!$E:$E,MATCH($C236,lookup!$D:$D,0)),"")</f>
        <v/>
      </c>
      <c r="J236" s="0">
        <f>IF($I236="","",IF(OR($I236=1,$I236=5,$I236=9),IF($K236="","Long fast month","Long fast month (LEAP)"),""))</f>
        <v/>
      </c>
      <c r="K236" s="0">
        <f>IFERROR(IF(INDEX(lookup!$G:$G,MATCH($C236,lookup!$D:$D,0))="LEAP","LEAP MONTH - counts as month "&amp;$I236&amp;", flagged for review",""),"")</f>
        <v/>
      </c>
    </row>
    <row r="237">
      <c r="A237" s="12">
        <f>A236+1</f>
        <v/>
      </c>
      <c r="B237" s="0">
        <f>TEXT(A237,"ddd")</f>
        <v/>
      </c>
      <c r="C237" s="0">
        <f>IFERROR(INDEX(lunar_ref!$B:$B,MATCH($A237,lunar_ref!$A:$A,0)),"")</f>
        <v/>
      </c>
      <c r="D237" s="0">
        <f>IFERROR(INDEX(lunar_ref!$C:$C,MATCH($A237,lunar_ref!$A:$A,0)),"")</f>
        <v/>
      </c>
      <c r="E237" s="0">
        <f>_xlfn.XLOOKUP($D237,lookup!$A:$A,lookup!$B:$B)</f>
        <v/>
      </c>
      <c r="F237" s="0">
        <f>IF($E237=1,"New",IF($E237=15,"Full",""))</f>
        <v/>
      </c>
      <c r="H237" s="0">
        <f>IF($E237="","",IF(OR($E237=8,$E237=14,$E237=15,$E237=23,$E238=1,$E239=1),"Fast day",""))</f>
        <v/>
      </c>
      <c r="I237" s="0">
        <f>IFERROR(INDEX(lookup!$E:$E,MATCH($C237,lookup!$D:$D,0)),"")</f>
        <v/>
      </c>
      <c r="J237" s="0">
        <f>IF($I237="","",IF(OR($I237=1,$I237=5,$I237=9),IF($K237="","Long fast month","Long fast month (LEAP)"),""))</f>
        <v/>
      </c>
      <c r="K237" s="0">
        <f>IFERROR(IF(INDEX(lookup!$G:$G,MATCH($C237,lookup!$D:$D,0))="LEAP","LEAP MONTH - counts as month "&amp;$I237&amp;", flagged for review",""),"")</f>
        <v/>
      </c>
    </row>
    <row r="238">
      <c r="A238" s="12">
        <f>A237+1</f>
        <v/>
      </c>
      <c r="B238" s="0">
        <f>TEXT(A238,"ddd")</f>
        <v/>
      </c>
      <c r="C238" s="0">
        <f>IFERROR(INDEX(lunar_ref!$B:$B,MATCH($A238,lunar_ref!$A:$A,0)),"")</f>
        <v/>
      </c>
      <c r="D238" s="0">
        <f>IFERROR(INDEX(lunar_ref!$C:$C,MATCH($A238,lunar_ref!$A:$A,0)),"")</f>
        <v/>
      </c>
      <c r="E238" s="0">
        <f>_xlfn.XLOOKUP($D238,lookup!$A:$A,lookup!$B:$B)</f>
        <v/>
      </c>
      <c r="F238" s="0">
        <f>IF($E238=1,"New",IF($E238=15,"Full",""))</f>
        <v/>
      </c>
      <c r="H238" s="0">
        <f>IF($E238="","",IF(OR($E238=8,$E238=14,$E238=15,$E238=23,$E239=1,$E240=1),"Fast day",""))</f>
        <v/>
      </c>
      <c r="I238" s="0">
        <f>IFERROR(INDEX(lookup!$E:$E,MATCH($C238,lookup!$D:$D,0)),"")</f>
        <v/>
      </c>
      <c r="J238" s="0">
        <f>IF($I238="","",IF(OR($I238=1,$I238=5,$I238=9),IF($K238="","Long fast month","Long fast month (LEAP)"),""))</f>
        <v/>
      </c>
      <c r="K238" s="0">
        <f>IFERROR(IF(INDEX(lookup!$G:$G,MATCH($C238,lookup!$D:$D,0))="LEAP","LEAP MONTH - counts as month "&amp;$I238&amp;", flagged for review",""),"")</f>
        <v/>
      </c>
    </row>
    <row r="239">
      <c r="A239" s="12">
        <f>A238+1</f>
        <v/>
      </c>
      <c r="B239" s="0">
        <f>TEXT(A239,"ddd")</f>
        <v/>
      </c>
      <c r="C239" s="0">
        <f>IFERROR(INDEX(lunar_ref!$B:$B,MATCH($A239,lunar_ref!$A:$A,0)),"")</f>
        <v/>
      </c>
      <c r="D239" s="0">
        <f>IFERROR(INDEX(lunar_ref!$C:$C,MATCH($A239,lunar_ref!$A:$A,0)),"")</f>
        <v/>
      </c>
      <c r="E239" s="0">
        <f>_xlfn.XLOOKUP($D239,lookup!$A:$A,lookup!$B:$B)</f>
        <v/>
      </c>
      <c r="F239" s="0">
        <f>IF($E239=1,"New",IF($E239=15,"Full",""))</f>
        <v/>
      </c>
      <c r="H239" s="0">
        <f>IF($E239="","",IF(OR($E239=8,$E239=14,$E239=15,$E239=23,$E240=1,$E241=1),"Fast day",""))</f>
        <v/>
      </c>
      <c r="I239" s="0">
        <f>IFERROR(INDEX(lookup!$E:$E,MATCH($C239,lookup!$D:$D,0)),"")</f>
        <v/>
      </c>
      <c r="J239" s="0">
        <f>IF($I239="","",IF(OR($I239=1,$I239=5,$I239=9),IF($K239="","Long fast month","Long fast month (LEAP)"),""))</f>
        <v/>
      </c>
      <c r="K239" s="0">
        <f>IFERROR(IF(INDEX(lookup!$G:$G,MATCH($C239,lookup!$D:$D,0))="LEAP","LEAP MONTH - counts as month "&amp;$I239&amp;", flagged for review",""),"")</f>
        <v/>
      </c>
    </row>
    <row r="240">
      <c r="A240" s="12">
        <f>A239+1</f>
        <v/>
      </c>
      <c r="B240" s="0">
        <f>TEXT(A240,"ddd")</f>
        <v/>
      </c>
      <c r="C240" s="0">
        <f>IFERROR(INDEX(lunar_ref!$B:$B,MATCH($A240,lunar_ref!$A:$A,0)),"")</f>
        <v/>
      </c>
      <c r="D240" s="0">
        <f>IFERROR(INDEX(lunar_ref!$C:$C,MATCH($A240,lunar_ref!$A:$A,0)),"")</f>
        <v/>
      </c>
      <c r="E240" s="0">
        <f>_xlfn.XLOOKUP($D240,lookup!$A:$A,lookup!$B:$B)</f>
        <v/>
      </c>
      <c r="F240" s="0">
        <f>IF($E240=1,"New",IF($E240=15,"Full",""))</f>
        <v/>
      </c>
      <c r="H240" s="0">
        <f>IF($E240="","",IF(OR($E240=8,$E240=14,$E240=15,$E240=23,$E241=1,$E242=1),"Fast day",""))</f>
        <v/>
      </c>
      <c r="I240" s="0">
        <f>IFERROR(INDEX(lookup!$E:$E,MATCH($C240,lookup!$D:$D,0)),"")</f>
        <v/>
      </c>
      <c r="J240" s="0">
        <f>IF($I240="","",IF(OR($I240=1,$I240=5,$I240=9),IF($K240="","Long fast month","Long fast month (LEAP)"),""))</f>
        <v/>
      </c>
      <c r="K240" s="0">
        <f>IFERROR(IF(INDEX(lookup!$G:$G,MATCH($C240,lookup!$D:$D,0))="LEAP","LEAP MONTH - counts as month "&amp;$I240&amp;", flagged for review",""),"")</f>
        <v/>
      </c>
    </row>
    <row r="241">
      <c r="A241" s="12">
        <f>A240+1</f>
        <v/>
      </c>
      <c r="B241" s="0">
        <f>TEXT(A241,"ddd")</f>
        <v/>
      </c>
      <c r="C241" s="0">
        <f>IFERROR(INDEX(lunar_ref!$B:$B,MATCH($A241,lunar_ref!$A:$A,0)),"")</f>
        <v/>
      </c>
      <c r="D241" s="0">
        <f>IFERROR(INDEX(lunar_ref!$C:$C,MATCH($A241,lunar_ref!$A:$A,0)),"")</f>
        <v/>
      </c>
      <c r="E241" s="0">
        <f>_xlfn.XLOOKUP($D241,lookup!$A:$A,lookup!$B:$B)</f>
        <v/>
      </c>
      <c r="F241" s="0">
        <f>IF($E241=1,"New",IF($E241=15,"Full",""))</f>
        <v/>
      </c>
      <c r="H241" s="0">
        <f>IF($E241="","",IF(OR($E241=8,$E241=14,$E241=15,$E241=23,$E242=1,$E243=1),"Fast day",""))</f>
        <v/>
      </c>
      <c r="I241" s="0">
        <f>IFERROR(INDEX(lookup!$E:$E,MATCH($C241,lookup!$D:$D,0)),"")</f>
        <v/>
      </c>
      <c r="J241" s="0">
        <f>IF($I241="","",IF(OR($I241=1,$I241=5,$I241=9),IF($K241="","Long fast month","Long fast month (LEAP)"),""))</f>
        <v/>
      </c>
      <c r="K241" s="0">
        <f>IFERROR(IF(INDEX(lookup!$G:$G,MATCH($C241,lookup!$D:$D,0))="LEAP","LEAP MONTH - counts as month "&amp;$I241&amp;", flagged for review",""),"")</f>
        <v/>
      </c>
    </row>
    <row r="242">
      <c r="A242" s="12">
        <f>A241+1</f>
        <v/>
      </c>
      <c r="B242" s="0">
        <f>TEXT(A242,"ddd")</f>
        <v/>
      </c>
      <c r="C242" s="0">
        <f>IFERROR(INDEX(lunar_ref!$B:$B,MATCH($A242,lunar_ref!$A:$A,0)),"")</f>
        <v/>
      </c>
      <c r="D242" s="0">
        <f>IFERROR(INDEX(lunar_ref!$C:$C,MATCH($A242,lunar_ref!$A:$A,0)),"")</f>
        <v/>
      </c>
      <c r="E242" s="0">
        <f>_xlfn.XLOOKUP($D242,lookup!$A:$A,lookup!$B:$B)</f>
        <v/>
      </c>
      <c r="F242" s="0">
        <f>IF($E242=1,"New",IF($E242=15,"Full",""))</f>
        <v/>
      </c>
      <c r="H242" s="0">
        <f>IF($E242="","",IF(OR($E242=8,$E242=14,$E242=15,$E242=23,$E243=1,$E244=1),"Fast day",""))</f>
        <v/>
      </c>
      <c r="I242" s="0">
        <f>IFERROR(INDEX(lookup!$E:$E,MATCH($C242,lookup!$D:$D,0)),"")</f>
        <v/>
      </c>
      <c r="J242" s="0">
        <f>IF($I242="","",IF(OR($I242=1,$I242=5,$I242=9),IF($K242="","Long fast month","Long fast month (LEAP)"),""))</f>
        <v/>
      </c>
      <c r="K242" s="0">
        <f>IFERROR(IF(INDEX(lookup!$G:$G,MATCH($C242,lookup!$D:$D,0))="LEAP","LEAP MONTH - counts as month "&amp;$I242&amp;", flagged for review",""),"")</f>
        <v/>
      </c>
    </row>
    <row r="243">
      <c r="A243" s="12">
        <f>A242+1</f>
        <v/>
      </c>
      <c r="B243" s="0">
        <f>TEXT(A243,"ddd")</f>
        <v/>
      </c>
      <c r="C243" s="0">
        <f>IFERROR(INDEX(lunar_ref!$B:$B,MATCH($A243,lunar_ref!$A:$A,0)),"")</f>
        <v/>
      </c>
      <c r="D243" s="0">
        <f>IFERROR(INDEX(lunar_ref!$C:$C,MATCH($A243,lunar_ref!$A:$A,0)),"")</f>
        <v/>
      </c>
      <c r="E243" s="0">
        <f>_xlfn.XLOOKUP($D243,lookup!$A:$A,lookup!$B:$B)</f>
        <v/>
      </c>
      <c r="F243" s="0">
        <f>IF($E243=1,"New",IF($E243=15,"Full",""))</f>
        <v/>
      </c>
      <c r="H243" s="0">
        <f>IF($E243="","",IF(OR($E243=8,$E243=14,$E243=15,$E243=23,$E244=1,$E245=1),"Fast day",""))</f>
        <v/>
      </c>
      <c r="I243" s="0">
        <f>IFERROR(INDEX(lookup!$E:$E,MATCH($C243,lookup!$D:$D,0)),"")</f>
        <v/>
      </c>
      <c r="J243" s="0">
        <f>IF($I243="","",IF(OR($I243=1,$I243=5,$I243=9),IF($K243="","Long fast month","Long fast month (LEAP)"),""))</f>
        <v/>
      </c>
      <c r="K243" s="0">
        <f>IFERROR(IF(INDEX(lookup!$G:$G,MATCH($C243,lookup!$D:$D,0))="LEAP","LEAP MONTH - counts as month "&amp;$I243&amp;", flagged for review",""),"")</f>
        <v/>
      </c>
    </row>
    <row r="244">
      <c r="A244" s="12">
        <f>A243+1</f>
        <v/>
      </c>
      <c r="B244" s="0">
        <f>TEXT(A244,"ddd")</f>
        <v/>
      </c>
      <c r="C244" s="0">
        <f>IFERROR(INDEX(lunar_ref!$B:$B,MATCH($A244,lunar_ref!$A:$A,0)),"")</f>
        <v/>
      </c>
      <c r="D244" s="0">
        <f>IFERROR(INDEX(lunar_ref!$C:$C,MATCH($A244,lunar_ref!$A:$A,0)),"")</f>
        <v/>
      </c>
      <c r="E244" s="0">
        <f>_xlfn.XLOOKUP($D244,lookup!$A:$A,lookup!$B:$B)</f>
        <v/>
      </c>
      <c r="F244" s="0">
        <f>IF($E244=1,"New",IF($E244=15,"Full",""))</f>
        <v/>
      </c>
      <c r="H244" s="0">
        <f>IF($E244="","",IF(OR($E244=8,$E244=14,$E244=15,$E244=23,$E245=1,$E246=1),"Fast day",""))</f>
        <v/>
      </c>
      <c r="I244" s="0">
        <f>IFERROR(INDEX(lookup!$E:$E,MATCH($C244,lookup!$D:$D,0)),"")</f>
        <v/>
      </c>
      <c r="J244" s="0">
        <f>IF($I244="","",IF(OR($I244=1,$I244=5,$I244=9),IF($K244="","Long fast month","Long fast month (LEAP)"),""))</f>
        <v/>
      </c>
      <c r="K244" s="0">
        <f>IFERROR(IF(INDEX(lookup!$G:$G,MATCH($C244,lookup!$D:$D,0))="LEAP","LEAP MONTH - counts as month "&amp;$I244&amp;", flagged for review",""),"")</f>
        <v/>
      </c>
    </row>
    <row r="245">
      <c r="A245" s="12">
        <f>A244+1</f>
        <v/>
      </c>
      <c r="B245" s="0">
        <f>TEXT(A245,"ddd")</f>
        <v/>
      </c>
      <c r="C245" s="0">
        <f>IFERROR(INDEX(lunar_ref!$B:$B,MATCH($A245,lunar_ref!$A:$A,0)),"")</f>
        <v/>
      </c>
      <c r="D245" s="0">
        <f>IFERROR(INDEX(lunar_ref!$C:$C,MATCH($A245,lunar_ref!$A:$A,0)),"")</f>
        <v/>
      </c>
      <c r="E245" s="0">
        <f>_xlfn.XLOOKUP($D245,lookup!$A:$A,lookup!$B:$B)</f>
        <v/>
      </c>
      <c r="F245" s="0">
        <f>IF($E245=1,"New",IF($E245=15,"Full",""))</f>
        <v/>
      </c>
      <c r="H245" s="0">
        <f>IF($E245="","",IF(OR($E245=8,$E245=14,$E245=15,$E245=23,$E246=1,$E247=1),"Fast day",""))</f>
        <v/>
      </c>
      <c r="I245" s="0">
        <f>IFERROR(INDEX(lookup!$E:$E,MATCH($C245,lookup!$D:$D,0)),"")</f>
        <v/>
      </c>
      <c r="J245" s="0">
        <f>IF($I245="","",IF(OR($I245=1,$I245=5,$I245=9),IF($K245="","Long fast month","Long fast month (LEAP)"),""))</f>
        <v/>
      </c>
      <c r="K245" s="0">
        <f>IFERROR(IF(INDEX(lookup!$G:$G,MATCH($C245,lookup!$D:$D,0))="LEAP","LEAP MONTH - counts as month "&amp;$I245&amp;", flagged for review",""),"")</f>
        <v/>
      </c>
    </row>
    <row r="246">
      <c r="A246" s="12">
        <f>A245+1</f>
        <v/>
      </c>
      <c r="B246" s="0">
        <f>TEXT(A246,"ddd")</f>
        <v/>
      </c>
      <c r="C246" s="0">
        <f>IFERROR(INDEX(lunar_ref!$B:$B,MATCH($A246,lunar_ref!$A:$A,0)),"")</f>
        <v/>
      </c>
      <c r="D246" s="0">
        <f>IFERROR(INDEX(lunar_ref!$C:$C,MATCH($A246,lunar_ref!$A:$A,0)),"")</f>
        <v/>
      </c>
      <c r="E246" s="0">
        <f>_xlfn.XLOOKUP($D246,lookup!$A:$A,lookup!$B:$B)</f>
        <v/>
      </c>
      <c r="F246" s="0">
        <f>IF($E246=1,"New",IF($E246=15,"Full",""))</f>
        <v/>
      </c>
      <c r="H246" s="0">
        <f>IF($E246="","",IF(OR($E246=8,$E246=14,$E246=15,$E246=23,$E247=1,$E248=1),"Fast day",""))</f>
        <v/>
      </c>
      <c r="I246" s="0">
        <f>IFERROR(INDEX(lookup!$E:$E,MATCH($C246,lookup!$D:$D,0)),"")</f>
        <v/>
      </c>
      <c r="J246" s="0">
        <f>IF($I246="","",IF(OR($I246=1,$I246=5,$I246=9),IF($K246="","Long fast month","Long fast month (LEAP)"),""))</f>
        <v/>
      </c>
      <c r="K246" s="0">
        <f>IFERROR(IF(INDEX(lookup!$G:$G,MATCH($C246,lookup!$D:$D,0))="LEAP","LEAP MONTH - counts as month "&amp;$I246&amp;", flagged for review",""),"")</f>
        <v/>
      </c>
    </row>
    <row r="247">
      <c r="A247" s="12">
        <f>A246+1</f>
        <v/>
      </c>
      <c r="B247" s="0">
        <f>TEXT(A247,"ddd")</f>
        <v/>
      </c>
      <c r="C247" s="0">
        <f>IFERROR(INDEX(lunar_ref!$B:$B,MATCH($A247,lunar_ref!$A:$A,0)),"")</f>
        <v/>
      </c>
      <c r="D247" s="0">
        <f>IFERROR(INDEX(lunar_ref!$C:$C,MATCH($A247,lunar_ref!$A:$A,0)),"")</f>
        <v/>
      </c>
      <c r="E247" s="0">
        <f>_xlfn.XLOOKUP($D247,lookup!$A:$A,lookup!$B:$B)</f>
        <v/>
      </c>
      <c r="F247" s="0">
        <f>IF($E247=1,"New",IF($E247=15,"Full",""))</f>
        <v/>
      </c>
      <c r="H247" s="0">
        <f>IF($E247="","",IF(OR($E247=8,$E247=14,$E247=15,$E247=23,$E248=1,$E249=1),"Fast day",""))</f>
        <v/>
      </c>
      <c r="I247" s="0">
        <f>IFERROR(INDEX(lookup!$E:$E,MATCH($C247,lookup!$D:$D,0)),"")</f>
        <v/>
      </c>
      <c r="J247" s="0">
        <f>IF($I247="","",IF(OR($I247=1,$I247=5,$I247=9),IF($K247="","Long fast month","Long fast month (LEAP)"),""))</f>
        <v/>
      </c>
      <c r="K247" s="0">
        <f>IFERROR(IF(INDEX(lookup!$G:$G,MATCH($C247,lookup!$D:$D,0))="LEAP","LEAP MONTH - counts as month "&amp;$I247&amp;", flagged for review",""),"")</f>
        <v/>
      </c>
    </row>
    <row r="248">
      <c r="A248" s="12">
        <f>A247+1</f>
        <v/>
      </c>
      <c r="B248" s="0">
        <f>TEXT(A248,"ddd")</f>
        <v/>
      </c>
      <c r="C248" s="0">
        <f>IFERROR(INDEX(lunar_ref!$B:$B,MATCH($A248,lunar_ref!$A:$A,0)),"")</f>
        <v/>
      </c>
      <c r="D248" s="0">
        <f>IFERROR(INDEX(lunar_ref!$C:$C,MATCH($A248,lunar_ref!$A:$A,0)),"")</f>
        <v/>
      </c>
      <c r="E248" s="0">
        <f>_xlfn.XLOOKUP($D248,lookup!$A:$A,lookup!$B:$B)</f>
        <v/>
      </c>
      <c r="F248" s="0">
        <f>IF($E248=1,"New",IF($E248=15,"Full",""))</f>
        <v/>
      </c>
      <c r="H248" s="0">
        <f>IF($E248="","",IF(OR($E248=8,$E248=14,$E248=15,$E248=23,$E249=1,$E250=1),"Fast day",""))</f>
        <v/>
      </c>
      <c r="I248" s="0">
        <f>IFERROR(INDEX(lookup!$E:$E,MATCH($C248,lookup!$D:$D,0)),"")</f>
        <v/>
      </c>
      <c r="J248" s="0">
        <f>IF($I248="","",IF(OR($I248=1,$I248=5,$I248=9),IF($K248="","Long fast month","Long fast month (LEAP)"),""))</f>
        <v/>
      </c>
      <c r="K248" s="0">
        <f>IFERROR(IF(INDEX(lookup!$G:$G,MATCH($C248,lookup!$D:$D,0))="LEAP","LEAP MONTH - counts as month "&amp;$I248&amp;", flagged for review",""),"")</f>
        <v/>
      </c>
    </row>
    <row r="249">
      <c r="A249" s="12">
        <f>A248+1</f>
        <v/>
      </c>
      <c r="B249" s="0">
        <f>TEXT(A249,"ddd")</f>
        <v/>
      </c>
      <c r="C249" s="0">
        <f>IFERROR(INDEX(lunar_ref!$B:$B,MATCH($A249,lunar_ref!$A:$A,0)),"")</f>
        <v/>
      </c>
      <c r="D249" s="0">
        <f>IFERROR(INDEX(lunar_ref!$C:$C,MATCH($A249,lunar_ref!$A:$A,0)),"")</f>
        <v/>
      </c>
      <c r="E249" s="0">
        <f>_xlfn.XLOOKUP($D249,lookup!$A:$A,lookup!$B:$B)</f>
        <v/>
      </c>
      <c r="F249" s="0">
        <f>IF($E249=1,"New",IF($E249=15,"Full",""))</f>
        <v/>
      </c>
      <c r="H249" s="0">
        <f>IF($E249="","",IF(OR($E249=8,$E249=14,$E249=15,$E249=23,$E250=1,$E251=1),"Fast day",""))</f>
        <v/>
      </c>
      <c r="I249" s="0">
        <f>IFERROR(INDEX(lookup!$E:$E,MATCH($C249,lookup!$D:$D,0)),"")</f>
        <v/>
      </c>
      <c r="J249" s="0">
        <f>IF($I249="","",IF(OR($I249=1,$I249=5,$I249=9),IF($K249="","Long fast month","Long fast month (LEAP)"),""))</f>
        <v/>
      </c>
      <c r="K249" s="0">
        <f>IFERROR(IF(INDEX(lookup!$G:$G,MATCH($C249,lookup!$D:$D,0))="LEAP","LEAP MONTH - counts as month "&amp;$I249&amp;", flagged for review",""),"")</f>
        <v/>
      </c>
    </row>
    <row r="250">
      <c r="A250" s="12">
        <f>A249+1</f>
        <v/>
      </c>
      <c r="B250" s="0">
        <f>TEXT(A250,"ddd")</f>
        <v/>
      </c>
      <c r="C250" s="0">
        <f>IFERROR(INDEX(lunar_ref!$B:$B,MATCH($A250,lunar_ref!$A:$A,0)),"")</f>
        <v/>
      </c>
      <c r="D250" s="0">
        <f>IFERROR(INDEX(lunar_ref!$C:$C,MATCH($A250,lunar_ref!$A:$A,0)),"")</f>
        <v/>
      </c>
      <c r="E250" s="0">
        <f>_xlfn.XLOOKUP($D250,lookup!$A:$A,lookup!$B:$B)</f>
        <v/>
      </c>
      <c r="F250" s="0">
        <f>IF($E250=1,"New",IF($E250=15,"Full",""))</f>
        <v/>
      </c>
      <c r="H250" s="0">
        <f>IF($E250="","",IF(OR($E250=8,$E250=14,$E250=15,$E250=23,$E251=1,$E252=1),"Fast day",""))</f>
        <v/>
      </c>
      <c r="I250" s="0">
        <f>IFERROR(INDEX(lookup!$E:$E,MATCH($C250,lookup!$D:$D,0)),"")</f>
        <v/>
      </c>
      <c r="J250" s="0">
        <f>IF($I250="","",IF(OR($I250=1,$I250=5,$I250=9),IF($K250="","Long fast month","Long fast month (LEAP)"),""))</f>
        <v/>
      </c>
      <c r="K250" s="0">
        <f>IFERROR(IF(INDEX(lookup!$G:$G,MATCH($C250,lookup!$D:$D,0))="LEAP","LEAP MONTH - counts as month "&amp;$I250&amp;", flagged for review",""),"")</f>
        <v/>
      </c>
    </row>
    <row r="251">
      <c r="A251" s="12">
        <f>A250+1</f>
        <v/>
      </c>
      <c r="B251" s="0">
        <f>TEXT(A251,"ddd")</f>
        <v/>
      </c>
      <c r="C251" s="0">
        <f>IFERROR(INDEX(lunar_ref!$B:$B,MATCH($A251,lunar_ref!$A:$A,0)),"")</f>
        <v/>
      </c>
      <c r="D251" s="0">
        <f>IFERROR(INDEX(lunar_ref!$C:$C,MATCH($A251,lunar_ref!$A:$A,0)),"")</f>
        <v/>
      </c>
      <c r="E251" s="0">
        <f>_xlfn.XLOOKUP($D251,lookup!$A:$A,lookup!$B:$B)</f>
        <v/>
      </c>
      <c r="F251" s="0">
        <f>IF($E251=1,"New",IF($E251=15,"Full",""))</f>
        <v/>
      </c>
      <c r="H251" s="0">
        <f>IF($E251="","",IF(OR($E251=8,$E251=14,$E251=15,$E251=23,$E252=1,$E253=1),"Fast day",""))</f>
        <v/>
      </c>
      <c r="I251" s="0">
        <f>IFERROR(INDEX(lookup!$E:$E,MATCH($C251,lookup!$D:$D,0)),"")</f>
        <v/>
      </c>
      <c r="J251" s="0">
        <f>IF($I251="","",IF(OR($I251=1,$I251=5,$I251=9),IF($K251="","Long fast month","Long fast month (LEAP)"),""))</f>
        <v/>
      </c>
      <c r="K251" s="0">
        <f>IFERROR(IF(INDEX(lookup!$G:$G,MATCH($C251,lookup!$D:$D,0))="LEAP","LEAP MONTH - counts as month "&amp;$I251&amp;", flagged for review",""),"")</f>
        <v/>
      </c>
    </row>
    <row r="252">
      <c r="A252" s="12">
        <f>A251+1</f>
        <v/>
      </c>
      <c r="B252" s="0">
        <f>TEXT(A252,"ddd")</f>
        <v/>
      </c>
      <c r="C252" s="0">
        <f>IFERROR(INDEX(lunar_ref!$B:$B,MATCH($A252,lunar_ref!$A:$A,0)),"")</f>
        <v/>
      </c>
      <c r="D252" s="0">
        <f>IFERROR(INDEX(lunar_ref!$C:$C,MATCH($A252,lunar_ref!$A:$A,0)),"")</f>
        <v/>
      </c>
      <c r="E252" s="0">
        <f>_xlfn.XLOOKUP($D252,lookup!$A:$A,lookup!$B:$B)</f>
        <v/>
      </c>
      <c r="F252" s="0">
        <f>IF($E252=1,"New",IF($E252=15,"Full",""))</f>
        <v/>
      </c>
      <c r="H252" s="0">
        <f>IF($E252="","",IF(OR($E252=8,$E252=14,$E252=15,$E252=23,$E253=1,$E254=1),"Fast day",""))</f>
        <v/>
      </c>
      <c r="I252" s="0">
        <f>IFERROR(INDEX(lookup!$E:$E,MATCH($C252,lookup!$D:$D,0)),"")</f>
        <v/>
      </c>
      <c r="J252" s="0">
        <f>IF($I252="","",IF(OR($I252=1,$I252=5,$I252=9),IF($K252="","Long fast month","Long fast month (LEAP)"),""))</f>
        <v/>
      </c>
      <c r="K252" s="0">
        <f>IFERROR(IF(INDEX(lookup!$G:$G,MATCH($C252,lookup!$D:$D,0))="LEAP","LEAP MONTH - counts as month "&amp;$I252&amp;", flagged for review",""),"")</f>
        <v/>
      </c>
    </row>
    <row r="253">
      <c r="A253" s="12">
        <f>A252+1</f>
        <v/>
      </c>
      <c r="B253" s="0">
        <f>TEXT(A253,"ddd")</f>
        <v/>
      </c>
      <c r="C253" s="0">
        <f>IFERROR(INDEX(lunar_ref!$B:$B,MATCH($A253,lunar_ref!$A:$A,0)),"")</f>
        <v/>
      </c>
      <c r="D253" s="0">
        <f>IFERROR(INDEX(lunar_ref!$C:$C,MATCH($A253,lunar_ref!$A:$A,0)),"")</f>
        <v/>
      </c>
      <c r="E253" s="0">
        <f>_xlfn.XLOOKUP($D253,lookup!$A:$A,lookup!$B:$B)</f>
        <v/>
      </c>
      <c r="F253" s="0">
        <f>IF($E253=1,"New",IF($E253=15,"Full",""))</f>
        <v/>
      </c>
      <c r="H253" s="0">
        <f>IF($E253="","",IF(OR($E253=8,$E253=14,$E253=15,$E253=23,$E254=1,$E255=1),"Fast day",""))</f>
        <v/>
      </c>
      <c r="I253" s="0">
        <f>IFERROR(INDEX(lookup!$E:$E,MATCH($C253,lookup!$D:$D,0)),"")</f>
        <v/>
      </c>
      <c r="J253" s="0">
        <f>IF($I253="","",IF(OR($I253=1,$I253=5,$I253=9),IF($K253="","Long fast month","Long fast month (LEAP)"),""))</f>
        <v/>
      </c>
      <c r="K253" s="0">
        <f>IFERROR(IF(INDEX(lookup!$G:$G,MATCH($C253,lookup!$D:$D,0))="LEAP","LEAP MONTH - counts as month "&amp;$I253&amp;", flagged for review",""),"")</f>
        <v/>
      </c>
    </row>
    <row r="254">
      <c r="A254" s="12">
        <f>A253+1</f>
        <v/>
      </c>
      <c r="B254" s="0">
        <f>TEXT(A254,"ddd")</f>
        <v/>
      </c>
      <c r="C254" s="0">
        <f>IFERROR(INDEX(lunar_ref!$B:$B,MATCH($A254,lunar_ref!$A:$A,0)),"")</f>
        <v/>
      </c>
      <c r="D254" s="0">
        <f>IFERROR(INDEX(lunar_ref!$C:$C,MATCH($A254,lunar_ref!$A:$A,0)),"")</f>
        <v/>
      </c>
      <c r="E254" s="0">
        <f>_xlfn.XLOOKUP($D254,lookup!$A:$A,lookup!$B:$B)</f>
        <v/>
      </c>
      <c r="F254" s="0">
        <f>IF($E254=1,"New",IF($E254=15,"Full",""))</f>
        <v/>
      </c>
      <c r="H254" s="0">
        <f>IF($E254="","",IF(OR($E254=8,$E254=14,$E254=15,$E254=23,$E255=1,$E256=1),"Fast day",""))</f>
        <v/>
      </c>
      <c r="I254" s="0">
        <f>IFERROR(INDEX(lookup!$E:$E,MATCH($C254,lookup!$D:$D,0)),"")</f>
        <v/>
      </c>
      <c r="J254" s="0">
        <f>IF($I254="","",IF(OR($I254=1,$I254=5,$I254=9),IF($K254="","Long fast month","Long fast month (LEAP)"),""))</f>
        <v/>
      </c>
      <c r="K254" s="0">
        <f>IFERROR(IF(INDEX(lookup!$G:$G,MATCH($C254,lookup!$D:$D,0))="LEAP","LEAP MONTH - counts as month "&amp;$I254&amp;", flagged for review",""),"")</f>
        <v/>
      </c>
    </row>
    <row r="255">
      <c r="A255" s="12">
        <f>A254+1</f>
        <v/>
      </c>
      <c r="B255" s="0">
        <f>TEXT(A255,"ddd")</f>
        <v/>
      </c>
      <c r="C255" s="0">
        <f>IFERROR(INDEX(lunar_ref!$B:$B,MATCH($A255,lunar_ref!$A:$A,0)),"")</f>
        <v/>
      </c>
      <c r="D255" s="0">
        <f>IFERROR(INDEX(lunar_ref!$C:$C,MATCH($A255,lunar_ref!$A:$A,0)),"")</f>
        <v/>
      </c>
      <c r="E255" s="0">
        <f>_xlfn.XLOOKUP($D255,lookup!$A:$A,lookup!$B:$B)</f>
        <v/>
      </c>
      <c r="F255" s="0">
        <f>IF($E255=1,"New",IF($E255=15,"Full",""))</f>
        <v/>
      </c>
      <c r="H255" s="0">
        <f>IF($E255="","",IF(OR($E255=8,$E255=14,$E255=15,$E255=23,$E256=1,$E257=1),"Fast day",""))</f>
        <v/>
      </c>
      <c r="I255" s="0">
        <f>IFERROR(INDEX(lookup!$E:$E,MATCH($C255,lookup!$D:$D,0)),"")</f>
        <v/>
      </c>
      <c r="J255" s="0">
        <f>IF($I255="","",IF(OR($I255=1,$I255=5,$I255=9),IF($K255="","Long fast month","Long fast month (LEAP)"),""))</f>
        <v/>
      </c>
      <c r="K255" s="0">
        <f>IFERROR(IF(INDEX(lookup!$G:$G,MATCH($C255,lookup!$D:$D,0))="LEAP","LEAP MONTH - counts as month "&amp;$I255&amp;", flagged for review",""),"")</f>
        <v/>
      </c>
    </row>
    <row r="256">
      <c r="A256" s="12">
        <f>A255+1</f>
        <v/>
      </c>
      <c r="B256" s="0">
        <f>TEXT(A256,"ddd")</f>
        <v/>
      </c>
      <c r="C256" s="0">
        <f>IFERROR(INDEX(lunar_ref!$B:$B,MATCH($A256,lunar_ref!$A:$A,0)),"")</f>
        <v/>
      </c>
      <c r="D256" s="0">
        <f>IFERROR(INDEX(lunar_ref!$C:$C,MATCH($A256,lunar_ref!$A:$A,0)),"")</f>
        <v/>
      </c>
      <c r="E256" s="0">
        <f>_xlfn.XLOOKUP($D256,lookup!$A:$A,lookup!$B:$B)</f>
        <v/>
      </c>
      <c r="F256" s="0">
        <f>IF($E256=1,"New",IF($E256=15,"Full",""))</f>
        <v/>
      </c>
      <c r="H256" s="0">
        <f>IF($E256="","",IF(OR($E256=8,$E256=14,$E256=15,$E256=23,$E257=1,$E258=1),"Fast day",""))</f>
        <v/>
      </c>
      <c r="I256" s="0">
        <f>IFERROR(INDEX(lookup!$E:$E,MATCH($C256,lookup!$D:$D,0)),"")</f>
        <v/>
      </c>
      <c r="J256" s="0">
        <f>IF($I256="","",IF(OR($I256=1,$I256=5,$I256=9),IF($K256="","Long fast month","Long fast month (LEAP)"),""))</f>
        <v/>
      </c>
      <c r="K256" s="0">
        <f>IFERROR(IF(INDEX(lookup!$G:$G,MATCH($C256,lookup!$D:$D,0))="LEAP","LEAP MONTH - counts as month "&amp;$I256&amp;", flagged for review",""),"")</f>
        <v/>
      </c>
    </row>
    <row r="257">
      <c r="A257" s="12">
        <f>A256+1</f>
        <v/>
      </c>
      <c r="B257" s="0">
        <f>TEXT(A257,"ddd")</f>
        <v/>
      </c>
      <c r="C257" s="0">
        <f>IFERROR(INDEX(lunar_ref!$B:$B,MATCH($A257,lunar_ref!$A:$A,0)),"")</f>
        <v/>
      </c>
      <c r="D257" s="0">
        <f>IFERROR(INDEX(lunar_ref!$C:$C,MATCH($A257,lunar_ref!$A:$A,0)),"")</f>
        <v/>
      </c>
      <c r="E257" s="0">
        <f>_xlfn.XLOOKUP($D257,lookup!$A:$A,lookup!$B:$B)</f>
        <v/>
      </c>
      <c r="F257" s="0">
        <f>IF($E257=1,"New",IF($E257=15,"Full",""))</f>
        <v/>
      </c>
      <c r="H257" s="0">
        <f>IF($E257="","",IF(OR($E257=8,$E257=14,$E257=15,$E257=23,$E258=1,$E259=1),"Fast day",""))</f>
        <v/>
      </c>
      <c r="I257" s="0">
        <f>IFERROR(INDEX(lookup!$E:$E,MATCH($C257,lookup!$D:$D,0)),"")</f>
        <v/>
      </c>
      <c r="J257" s="0">
        <f>IF($I257="","",IF(OR($I257=1,$I257=5,$I257=9),IF($K257="","Long fast month","Long fast month (LEAP)"),""))</f>
        <v/>
      </c>
      <c r="K257" s="0">
        <f>IFERROR(IF(INDEX(lookup!$G:$G,MATCH($C257,lookup!$D:$D,0))="LEAP","LEAP MONTH - counts as month "&amp;$I257&amp;", flagged for review",""),"")</f>
        <v/>
      </c>
    </row>
    <row r="258">
      <c r="A258" s="12">
        <f>A257+1</f>
        <v/>
      </c>
      <c r="B258" s="0">
        <f>TEXT(A258,"ddd")</f>
        <v/>
      </c>
      <c r="C258" s="0">
        <f>IFERROR(INDEX(lunar_ref!$B:$B,MATCH($A258,lunar_ref!$A:$A,0)),"")</f>
        <v/>
      </c>
      <c r="D258" s="0">
        <f>IFERROR(INDEX(lunar_ref!$C:$C,MATCH($A258,lunar_ref!$A:$A,0)),"")</f>
        <v/>
      </c>
      <c r="E258" s="0">
        <f>_xlfn.XLOOKUP($D258,lookup!$A:$A,lookup!$B:$B)</f>
        <v/>
      </c>
      <c r="F258" s="0">
        <f>IF($E258=1,"New",IF($E258=15,"Full",""))</f>
        <v/>
      </c>
      <c r="H258" s="0">
        <f>IF($E258="","",IF(OR($E258=8,$E258=14,$E258=15,$E258=23,$E259=1,$E260=1),"Fast day",""))</f>
        <v/>
      </c>
      <c r="I258" s="0">
        <f>IFERROR(INDEX(lookup!$E:$E,MATCH($C258,lookup!$D:$D,0)),"")</f>
        <v/>
      </c>
      <c r="J258" s="0">
        <f>IF($I258="","",IF(OR($I258=1,$I258=5,$I258=9),IF($K258="","Long fast month","Long fast month (LEAP)"),""))</f>
        <v/>
      </c>
      <c r="K258" s="0">
        <f>IFERROR(IF(INDEX(lookup!$G:$G,MATCH($C258,lookup!$D:$D,0))="LEAP","LEAP MONTH - counts as month "&amp;$I258&amp;", flagged for review",""),"")</f>
        <v/>
      </c>
    </row>
    <row r="259">
      <c r="A259" s="12">
        <f>A258+1</f>
        <v/>
      </c>
      <c r="B259" s="0">
        <f>TEXT(A259,"ddd")</f>
        <v/>
      </c>
      <c r="C259" s="0">
        <f>IFERROR(INDEX(lunar_ref!$B:$B,MATCH($A259,lunar_ref!$A:$A,0)),"")</f>
        <v/>
      </c>
      <c r="D259" s="0">
        <f>IFERROR(INDEX(lunar_ref!$C:$C,MATCH($A259,lunar_ref!$A:$A,0)),"")</f>
        <v/>
      </c>
      <c r="E259" s="0">
        <f>_xlfn.XLOOKUP($D259,lookup!$A:$A,lookup!$B:$B)</f>
        <v/>
      </c>
      <c r="F259" s="0">
        <f>IF($E259=1,"New",IF($E259=15,"Full",""))</f>
        <v/>
      </c>
      <c r="H259" s="0">
        <f>IF($E259="","",IF(OR($E259=8,$E259=14,$E259=15,$E259=23,$E260=1,$E261=1),"Fast day",""))</f>
        <v/>
      </c>
      <c r="I259" s="0">
        <f>IFERROR(INDEX(lookup!$E:$E,MATCH($C259,lookup!$D:$D,0)),"")</f>
        <v/>
      </c>
      <c r="J259" s="0">
        <f>IF($I259="","",IF(OR($I259=1,$I259=5,$I259=9),IF($K259="","Long fast month","Long fast month (LEAP)"),""))</f>
        <v/>
      </c>
      <c r="K259" s="0">
        <f>IFERROR(IF(INDEX(lookup!$G:$G,MATCH($C259,lookup!$D:$D,0))="LEAP","LEAP MONTH - counts as month "&amp;$I259&amp;", flagged for review",""),"")</f>
        <v/>
      </c>
    </row>
    <row r="260">
      <c r="A260" s="12">
        <f>A259+1</f>
        <v/>
      </c>
      <c r="B260" s="0">
        <f>TEXT(A260,"ddd")</f>
        <v/>
      </c>
      <c r="C260" s="0">
        <f>IFERROR(INDEX(lunar_ref!$B:$B,MATCH($A260,lunar_ref!$A:$A,0)),"")</f>
        <v/>
      </c>
      <c r="D260" s="0">
        <f>IFERROR(INDEX(lunar_ref!$C:$C,MATCH($A260,lunar_ref!$A:$A,0)),"")</f>
        <v/>
      </c>
      <c r="E260" s="0">
        <f>_xlfn.XLOOKUP($D260,lookup!$A:$A,lookup!$B:$B)</f>
        <v/>
      </c>
      <c r="F260" s="0">
        <f>IF($E260=1,"New",IF($E260=15,"Full",""))</f>
        <v/>
      </c>
      <c r="H260" s="0">
        <f>IF($E260="","",IF(OR($E260=8,$E260=14,$E260=15,$E260=23,$E261=1,$E262=1),"Fast day",""))</f>
        <v/>
      </c>
      <c r="I260" s="0">
        <f>IFERROR(INDEX(lookup!$E:$E,MATCH($C260,lookup!$D:$D,0)),"")</f>
        <v/>
      </c>
      <c r="J260" s="0">
        <f>IF($I260="","",IF(OR($I260=1,$I260=5,$I260=9),IF($K260="","Long fast month","Long fast month (LEAP)"),""))</f>
        <v/>
      </c>
      <c r="K260" s="0">
        <f>IFERROR(IF(INDEX(lookup!$G:$G,MATCH($C260,lookup!$D:$D,0))="LEAP","LEAP MONTH - counts as month "&amp;$I260&amp;", flagged for review",""),"")</f>
        <v/>
      </c>
    </row>
    <row r="261">
      <c r="A261" s="12">
        <f>A260+1</f>
        <v/>
      </c>
      <c r="B261" s="0">
        <f>TEXT(A261,"ddd")</f>
        <v/>
      </c>
      <c r="C261" s="0">
        <f>IFERROR(INDEX(lunar_ref!$B:$B,MATCH($A261,lunar_ref!$A:$A,0)),"")</f>
        <v/>
      </c>
      <c r="D261" s="0">
        <f>IFERROR(INDEX(lunar_ref!$C:$C,MATCH($A261,lunar_ref!$A:$A,0)),"")</f>
        <v/>
      </c>
      <c r="E261" s="0">
        <f>_xlfn.XLOOKUP($D261,lookup!$A:$A,lookup!$B:$B)</f>
        <v/>
      </c>
      <c r="F261" s="0">
        <f>IF($E261=1,"New",IF($E261=15,"Full",""))</f>
        <v/>
      </c>
      <c r="H261" s="0">
        <f>IF($E261="","",IF(OR($E261=8,$E261=14,$E261=15,$E261=23,$E262=1,$E263=1),"Fast day",""))</f>
        <v/>
      </c>
      <c r="I261" s="0">
        <f>IFERROR(INDEX(lookup!$E:$E,MATCH($C261,lookup!$D:$D,0)),"")</f>
        <v/>
      </c>
      <c r="J261" s="0">
        <f>IF($I261="","",IF(OR($I261=1,$I261=5,$I261=9),IF($K261="","Long fast month","Long fast month (LEAP)"),""))</f>
        <v/>
      </c>
      <c r="K261" s="0">
        <f>IFERROR(IF(INDEX(lookup!$G:$G,MATCH($C261,lookup!$D:$D,0))="LEAP","LEAP MONTH - counts as month "&amp;$I261&amp;", flagged for review",""),"")</f>
        <v/>
      </c>
    </row>
    <row r="262">
      <c r="A262" s="12">
        <f>A261+1</f>
        <v/>
      </c>
      <c r="B262" s="0">
        <f>TEXT(A262,"ddd")</f>
        <v/>
      </c>
      <c r="C262" s="0">
        <f>IFERROR(INDEX(lunar_ref!$B:$B,MATCH($A262,lunar_ref!$A:$A,0)),"")</f>
        <v/>
      </c>
      <c r="D262" s="0">
        <f>IFERROR(INDEX(lunar_ref!$C:$C,MATCH($A262,lunar_ref!$A:$A,0)),"")</f>
        <v/>
      </c>
      <c r="E262" s="0">
        <f>_xlfn.XLOOKUP($D262,lookup!$A:$A,lookup!$B:$B)</f>
        <v/>
      </c>
      <c r="F262" s="0">
        <f>IF($E262=1,"New",IF($E262=15,"Full",""))</f>
        <v/>
      </c>
      <c r="H262" s="0">
        <f>IF($E262="","",IF(OR($E262=8,$E262=14,$E262=15,$E262=23,$E263=1,$E264=1),"Fast day",""))</f>
        <v/>
      </c>
      <c r="I262" s="0">
        <f>IFERROR(INDEX(lookup!$E:$E,MATCH($C262,lookup!$D:$D,0)),"")</f>
        <v/>
      </c>
      <c r="J262" s="0">
        <f>IF($I262="","",IF(OR($I262=1,$I262=5,$I262=9),IF($K262="","Long fast month","Long fast month (LEAP)"),""))</f>
        <v/>
      </c>
      <c r="K262" s="0">
        <f>IFERROR(IF(INDEX(lookup!$G:$G,MATCH($C262,lookup!$D:$D,0))="LEAP","LEAP MONTH - counts as month "&amp;$I262&amp;", flagged for review",""),"")</f>
        <v/>
      </c>
    </row>
    <row r="263">
      <c r="A263" s="12">
        <f>A262+1</f>
        <v/>
      </c>
      <c r="B263" s="0">
        <f>TEXT(A263,"ddd")</f>
        <v/>
      </c>
      <c r="C263" s="0">
        <f>IFERROR(INDEX(lunar_ref!$B:$B,MATCH($A263,lunar_ref!$A:$A,0)),"")</f>
        <v/>
      </c>
      <c r="D263" s="0">
        <f>IFERROR(INDEX(lunar_ref!$C:$C,MATCH($A263,lunar_ref!$A:$A,0)),"")</f>
        <v/>
      </c>
      <c r="E263" s="0">
        <f>_xlfn.XLOOKUP($D263,lookup!$A:$A,lookup!$B:$B)</f>
        <v/>
      </c>
      <c r="F263" s="0">
        <f>IF($E263=1,"New",IF($E263=15,"Full",""))</f>
        <v/>
      </c>
      <c r="H263" s="0">
        <f>IF($E263="","",IF(OR($E263=8,$E263=14,$E263=15,$E263=23,$E264=1,$E265=1),"Fast day",""))</f>
        <v/>
      </c>
      <c r="I263" s="0">
        <f>IFERROR(INDEX(lookup!$E:$E,MATCH($C263,lookup!$D:$D,0)),"")</f>
        <v/>
      </c>
      <c r="J263" s="0">
        <f>IF($I263="","",IF(OR($I263=1,$I263=5,$I263=9),IF($K263="","Long fast month","Long fast month (LEAP)"),""))</f>
        <v/>
      </c>
      <c r="K263" s="0">
        <f>IFERROR(IF(INDEX(lookup!$G:$G,MATCH($C263,lookup!$D:$D,0))="LEAP","LEAP MONTH - counts as month "&amp;$I263&amp;", flagged for review",""),"")</f>
        <v/>
      </c>
    </row>
    <row r="264">
      <c r="A264" s="12">
        <f>A263+1</f>
        <v/>
      </c>
      <c r="B264" s="0">
        <f>TEXT(A264,"ddd")</f>
        <v/>
      </c>
      <c r="C264" s="0">
        <f>IFERROR(INDEX(lunar_ref!$B:$B,MATCH($A264,lunar_ref!$A:$A,0)),"")</f>
        <v/>
      </c>
      <c r="D264" s="0">
        <f>IFERROR(INDEX(lunar_ref!$C:$C,MATCH($A264,lunar_ref!$A:$A,0)),"")</f>
        <v/>
      </c>
      <c r="E264" s="0">
        <f>_xlfn.XLOOKUP($D264,lookup!$A:$A,lookup!$B:$B)</f>
        <v/>
      </c>
      <c r="F264" s="0">
        <f>IF($E264=1,"New",IF($E264=15,"Full",""))</f>
        <v/>
      </c>
      <c r="H264" s="0">
        <f>IF($E264="","",IF(OR($E264=8,$E264=14,$E264=15,$E264=23,$E265=1,$E266=1),"Fast day",""))</f>
        <v/>
      </c>
      <c r="I264" s="0">
        <f>IFERROR(INDEX(lookup!$E:$E,MATCH($C264,lookup!$D:$D,0)),"")</f>
        <v/>
      </c>
      <c r="J264" s="0">
        <f>IF($I264="","",IF(OR($I264=1,$I264=5,$I264=9),IF($K264="","Long fast month","Long fast month (LEAP)"),""))</f>
        <v/>
      </c>
      <c r="K264" s="0">
        <f>IFERROR(IF(INDEX(lookup!$G:$G,MATCH($C264,lookup!$D:$D,0))="LEAP","LEAP MONTH - counts as month "&amp;$I264&amp;", flagged for review",""),"")</f>
        <v/>
      </c>
    </row>
    <row r="265">
      <c r="A265" s="12">
        <f>A264+1</f>
        <v/>
      </c>
      <c r="B265" s="0">
        <f>TEXT(A265,"ddd")</f>
        <v/>
      </c>
      <c r="C265" s="0">
        <f>IFERROR(INDEX(lunar_ref!$B:$B,MATCH($A265,lunar_ref!$A:$A,0)),"")</f>
        <v/>
      </c>
      <c r="D265" s="0">
        <f>IFERROR(INDEX(lunar_ref!$C:$C,MATCH($A265,lunar_ref!$A:$A,0)),"")</f>
        <v/>
      </c>
      <c r="E265" s="0">
        <f>_xlfn.XLOOKUP($D265,lookup!$A:$A,lookup!$B:$B)</f>
        <v/>
      </c>
      <c r="F265" s="0">
        <f>IF($E265=1,"New",IF($E265=15,"Full",""))</f>
        <v/>
      </c>
      <c r="H265" s="0">
        <f>IF($E265="","",IF(OR($E265=8,$E265=14,$E265=15,$E265=23,$E266=1,$E267=1),"Fast day",""))</f>
        <v/>
      </c>
      <c r="I265" s="0">
        <f>IFERROR(INDEX(lookup!$E:$E,MATCH($C265,lookup!$D:$D,0)),"")</f>
        <v/>
      </c>
      <c r="J265" s="0">
        <f>IF($I265="","",IF(OR($I265=1,$I265=5,$I265=9),IF($K265="","Long fast month","Long fast month (LEAP)"),""))</f>
        <v/>
      </c>
      <c r="K265" s="0">
        <f>IFERROR(IF(INDEX(lookup!$G:$G,MATCH($C265,lookup!$D:$D,0))="LEAP","LEAP MONTH - counts as month "&amp;$I265&amp;", flagged for review",""),"")</f>
        <v/>
      </c>
    </row>
    <row r="266">
      <c r="A266" s="12">
        <f>A265+1</f>
        <v/>
      </c>
      <c r="B266" s="0">
        <f>TEXT(A266,"ddd")</f>
        <v/>
      </c>
      <c r="C266" s="0">
        <f>IFERROR(INDEX(lunar_ref!$B:$B,MATCH($A266,lunar_ref!$A:$A,0)),"")</f>
        <v/>
      </c>
      <c r="D266" s="0">
        <f>IFERROR(INDEX(lunar_ref!$C:$C,MATCH($A266,lunar_ref!$A:$A,0)),"")</f>
        <v/>
      </c>
      <c r="E266" s="0">
        <f>_xlfn.XLOOKUP($D266,lookup!$A:$A,lookup!$B:$B)</f>
        <v/>
      </c>
      <c r="F266" s="0">
        <f>IF($E266=1,"New",IF($E266=15,"Full",""))</f>
        <v/>
      </c>
      <c r="H266" s="0">
        <f>IF($E266="","",IF(OR($E266=8,$E266=14,$E266=15,$E266=23,$E267=1,$E268=1),"Fast day",""))</f>
        <v/>
      </c>
      <c r="I266" s="0">
        <f>IFERROR(INDEX(lookup!$E:$E,MATCH($C266,lookup!$D:$D,0)),"")</f>
        <v/>
      </c>
      <c r="J266" s="0">
        <f>IF($I266="","",IF(OR($I266=1,$I266=5,$I266=9),IF($K266="","Long fast month","Long fast month (LEAP)"),""))</f>
        <v/>
      </c>
      <c r="K266" s="0">
        <f>IFERROR(IF(INDEX(lookup!$G:$G,MATCH($C266,lookup!$D:$D,0))="LEAP","LEAP MONTH - counts as month "&amp;$I266&amp;", flagged for review",""),"")</f>
        <v/>
      </c>
    </row>
    <row r="267">
      <c r="A267" s="12">
        <f>A266+1</f>
        <v/>
      </c>
      <c r="B267" s="0">
        <f>TEXT(A267,"ddd")</f>
        <v/>
      </c>
      <c r="C267" s="0">
        <f>IFERROR(INDEX(lunar_ref!$B:$B,MATCH($A267,lunar_ref!$A:$A,0)),"")</f>
        <v/>
      </c>
      <c r="D267" s="0">
        <f>IFERROR(INDEX(lunar_ref!$C:$C,MATCH($A267,lunar_ref!$A:$A,0)),"")</f>
        <v/>
      </c>
      <c r="E267" s="0">
        <f>_xlfn.XLOOKUP($D267,lookup!$A:$A,lookup!$B:$B)</f>
        <v/>
      </c>
      <c r="F267" s="0">
        <f>IF($E267=1,"New",IF($E267=15,"Full",""))</f>
        <v/>
      </c>
      <c r="H267" s="0">
        <f>IF($E267="","",IF(OR($E267=8,$E267=14,$E267=15,$E267=23,$E268=1,$E269=1),"Fast day",""))</f>
        <v/>
      </c>
      <c r="I267" s="0">
        <f>IFERROR(INDEX(lookup!$E:$E,MATCH($C267,lookup!$D:$D,0)),"")</f>
        <v/>
      </c>
      <c r="J267" s="0">
        <f>IF($I267="","",IF(OR($I267=1,$I267=5,$I267=9),IF($K267="","Long fast month","Long fast month (LEAP)"),""))</f>
        <v/>
      </c>
      <c r="K267" s="0">
        <f>IFERROR(IF(INDEX(lookup!$G:$G,MATCH($C267,lookup!$D:$D,0))="LEAP","LEAP MONTH - counts as month "&amp;$I267&amp;", flagged for review",""),"")</f>
        <v/>
      </c>
    </row>
    <row r="268">
      <c r="A268" s="12">
        <f>A267+1</f>
        <v/>
      </c>
      <c r="B268" s="0">
        <f>TEXT(A268,"ddd")</f>
        <v/>
      </c>
      <c r="C268" s="0">
        <f>IFERROR(INDEX(lunar_ref!$B:$B,MATCH($A268,lunar_ref!$A:$A,0)),"")</f>
        <v/>
      </c>
      <c r="D268" s="0">
        <f>IFERROR(INDEX(lunar_ref!$C:$C,MATCH($A268,lunar_ref!$A:$A,0)),"")</f>
        <v/>
      </c>
      <c r="E268" s="0">
        <f>_xlfn.XLOOKUP($D268,lookup!$A:$A,lookup!$B:$B)</f>
        <v/>
      </c>
      <c r="F268" s="0">
        <f>IF($E268=1,"New",IF($E268=15,"Full",""))</f>
        <v/>
      </c>
      <c r="H268" s="0">
        <f>IF($E268="","",IF(OR($E268=8,$E268=14,$E268=15,$E268=23,$E269=1,$E270=1),"Fast day",""))</f>
        <v/>
      </c>
      <c r="I268" s="0">
        <f>IFERROR(INDEX(lookup!$E:$E,MATCH($C268,lookup!$D:$D,0)),"")</f>
        <v/>
      </c>
      <c r="J268" s="0">
        <f>IF($I268="","",IF(OR($I268=1,$I268=5,$I268=9),IF($K268="","Long fast month","Long fast month (LEAP)"),""))</f>
        <v/>
      </c>
      <c r="K268" s="0">
        <f>IFERROR(IF(INDEX(lookup!$G:$G,MATCH($C268,lookup!$D:$D,0))="LEAP","LEAP MONTH - counts as month "&amp;$I268&amp;", flagged for review",""),"")</f>
        <v/>
      </c>
    </row>
    <row r="269">
      <c r="A269" s="12">
        <f>A268+1</f>
        <v/>
      </c>
      <c r="B269" s="0">
        <f>TEXT(A269,"ddd")</f>
        <v/>
      </c>
      <c r="C269" s="0">
        <f>IFERROR(INDEX(lunar_ref!$B:$B,MATCH($A269,lunar_ref!$A:$A,0)),"")</f>
        <v/>
      </c>
      <c r="D269" s="0">
        <f>IFERROR(INDEX(lunar_ref!$C:$C,MATCH($A269,lunar_ref!$A:$A,0)),"")</f>
        <v/>
      </c>
      <c r="E269" s="0">
        <f>_xlfn.XLOOKUP($D269,lookup!$A:$A,lookup!$B:$B)</f>
        <v/>
      </c>
      <c r="F269" s="0">
        <f>IF($E269=1,"New",IF($E269=15,"Full",""))</f>
        <v/>
      </c>
      <c r="H269" s="0">
        <f>IF($E269="","",IF(OR($E269=8,$E269=14,$E269=15,$E269=23,$E270=1,$E271=1),"Fast day",""))</f>
        <v/>
      </c>
      <c r="I269" s="0">
        <f>IFERROR(INDEX(lookup!$E:$E,MATCH($C269,lookup!$D:$D,0)),"")</f>
        <v/>
      </c>
      <c r="J269" s="0">
        <f>IF($I269="","",IF(OR($I269=1,$I269=5,$I269=9),IF($K269="","Long fast month","Long fast month (LEAP)"),""))</f>
        <v/>
      </c>
      <c r="K269" s="0">
        <f>IFERROR(IF(INDEX(lookup!$G:$G,MATCH($C269,lookup!$D:$D,0))="LEAP","LEAP MONTH - counts as month "&amp;$I269&amp;", flagged for review",""),"")</f>
        <v/>
      </c>
    </row>
    <row r="270">
      <c r="A270" s="12">
        <f>A269+1</f>
        <v/>
      </c>
      <c r="B270" s="0">
        <f>TEXT(A270,"ddd")</f>
        <v/>
      </c>
      <c r="C270" s="0">
        <f>IFERROR(INDEX(lunar_ref!$B:$B,MATCH($A270,lunar_ref!$A:$A,0)),"")</f>
        <v/>
      </c>
      <c r="D270" s="0">
        <f>IFERROR(INDEX(lunar_ref!$C:$C,MATCH($A270,lunar_ref!$A:$A,0)),"")</f>
        <v/>
      </c>
      <c r="E270" s="0">
        <f>_xlfn.XLOOKUP($D270,lookup!$A:$A,lookup!$B:$B)</f>
        <v/>
      </c>
      <c r="F270" s="0">
        <f>IF($E270=1,"New",IF($E270=15,"Full",""))</f>
        <v/>
      </c>
      <c r="H270" s="0">
        <f>IF($E270="","",IF(OR($E270=8,$E270=14,$E270=15,$E270=23,$E271=1,$E272=1),"Fast day",""))</f>
        <v/>
      </c>
      <c r="I270" s="0">
        <f>IFERROR(INDEX(lookup!$E:$E,MATCH($C270,lookup!$D:$D,0)),"")</f>
        <v/>
      </c>
      <c r="J270" s="0">
        <f>IF($I270="","",IF(OR($I270=1,$I270=5,$I270=9),IF($K270="","Long fast month","Long fast month (LEAP)"),""))</f>
        <v/>
      </c>
      <c r="K270" s="0">
        <f>IFERROR(IF(INDEX(lookup!$G:$G,MATCH($C270,lookup!$D:$D,0))="LEAP","LEAP MONTH - counts as month "&amp;$I270&amp;", flagged for review",""),"")</f>
        <v/>
      </c>
    </row>
    <row r="271">
      <c r="A271" s="12">
        <f>A270+1</f>
        <v/>
      </c>
      <c r="B271" s="0">
        <f>TEXT(A271,"ddd")</f>
        <v/>
      </c>
      <c r="C271" s="0">
        <f>IFERROR(INDEX(lunar_ref!$B:$B,MATCH($A271,lunar_ref!$A:$A,0)),"")</f>
        <v/>
      </c>
      <c r="D271" s="0">
        <f>IFERROR(INDEX(lunar_ref!$C:$C,MATCH($A271,lunar_ref!$A:$A,0)),"")</f>
        <v/>
      </c>
      <c r="E271" s="0">
        <f>_xlfn.XLOOKUP($D271,lookup!$A:$A,lookup!$B:$B)</f>
        <v/>
      </c>
      <c r="F271" s="0">
        <f>IF($E271=1,"New",IF($E271=15,"Full",""))</f>
        <v/>
      </c>
      <c r="H271" s="0">
        <f>IF($E271="","",IF(OR($E271=8,$E271=14,$E271=15,$E271=23,$E272=1,$E273=1),"Fast day",""))</f>
        <v/>
      </c>
      <c r="I271" s="0">
        <f>IFERROR(INDEX(lookup!$E:$E,MATCH($C271,lookup!$D:$D,0)),"")</f>
        <v/>
      </c>
      <c r="J271" s="0">
        <f>IF($I271="","",IF(OR($I271=1,$I271=5,$I271=9),IF($K271="","Long fast month","Long fast month (LEAP)"),""))</f>
        <v/>
      </c>
      <c r="K271" s="0">
        <f>IFERROR(IF(INDEX(lookup!$G:$G,MATCH($C271,lookup!$D:$D,0))="LEAP","LEAP MONTH - counts as month "&amp;$I271&amp;", flagged for review",""),"")</f>
        <v/>
      </c>
    </row>
    <row r="272">
      <c r="A272" s="12">
        <f>A271+1</f>
        <v/>
      </c>
      <c r="B272" s="0">
        <f>TEXT(A272,"ddd")</f>
        <v/>
      </c>
      <c r="C272" s="0">
        <f>IFERROR(INDEX(lunar_ref!$B:$B,MATCH($A272,lunar_ref!$A:$A,0)),"")</f>
        <v/>
      </c>
      <c r="D272" s="0">
        <f>IFERROR(INDEX(lunar_ref!$C:$C,MATCH($A272,lunar_ref!$A:$A,0)),"")</f>
        <v/>
      </c>
      <c r="E272" s="0">
        <f>_xlfn.XLOOKUP($D272,lookup!$A:$A,lookup!$B:$B)</f>
        <v/>
      </c>
      <c r="F272" s="0">
        <f>IF($E272=1,"New",IF($E272=15,"Full",""))</f>
        <v/>
      </c>
      <c r="H272" s="0">
        <f>IF($E272="","",IF(OR($E272=8,$E272=14,$E272=15,$E272=23,$E273=1,$E274=1),"Fast day",""))</f>
        <v/>
      </c>
      <c r="I272" s="0">
        <f>IFERROR(INDEX(lookup!$E:$E,MATCH($C272,lookup!$D:$D,0)),"")</f>
        <v/>
      </c>
      <c r="J272" s="0">
        <f>IF($I272="","",IF(OR($I272=1,$I272=5,$I272=9),IF($K272="","Long fast month","Long fast month (LEAP)"),""))</f>
        <v/>
      </c>
      <c r="K272" s="0">
        <f>IFERROR(IF(INDEX(lookup!$G:$G,MATCH($C272,lookup!$D:$D,0))="LEAP","LEAP MONTH - counts as month "&amp;$I272&amp;", flagged for review",""),"")</f>
        <v/>
      </c>
    </row>
    <row r="273">
      <c r="A273" s="12">
        <f>A272+1</f>
        <v/>
      </c>
      <c r="B273" s="0">
        <f>TEXT(A273,"ddd")</f>
        <v/>
      </c>
      <c r="C273" s="0">
        <f>IFERROR(INDEX(lunar_ref!$B:$B,MATCH($A273,lunar_ref!$A:$A,0)),"")</f>
        <v/>
      </c>
      <c r="D273" s="0">
        <f>IFERROR(INDEX(lunar_ref!$C:$C,MATCH($A273,lunar_ref!$A:$A,0)),"")</f>
        <v/>
      </c>
      <c r="E273" s="0">
        <f>_xlfn.XLOOKUP($D273,lookup!$A:$A,lookup!$B:$B)</f>
        <v/>
      </c>
      <c r="F273" s="0">
        <f>IF($E273=1,"New",IF($E273=15,"Full",""))</f>
        <v/>
      </c>
      <c r="H273" s="0">
        <f>IF($E273="","",IF(OR($E273=8,$E273=14,$E273=15,$E273=23,$E274=1,$E275=1),"Fast day",""))</f>
        <v/>
      </c>
      <c r="I273" s="0">
        <f>IFERROR(INDEX(lookup!$E:$E,MATCH($C273,lookup!$D:$D,0)),"")</f>
        <v/>
      </c>
      <c r="J273" s="0">
        <f>IF($I273="","",IF(OR($I273=1,$I273=5,$I273=9),IF($K273="","Long fast month","Long fast month (LEAP)"),""))</f>
        <v/>
      </c>
      <c r="K273" s="0">
        <f>IFERROR(IF(INDEX(lookup!$G:$G,MATCH($C273,lookup!$D:$D,0))="LEAP","LEAP MONTH - counts as month "&amp;$I273&amp;", flagged for review",""),"")</f>
        <v/>
      </c>
    </row>
    <row r="274">
      <c r="A274" s="12">
        <f>A273+1</f>
        <v/>
      </c>
      <c r="B274" s="0">
        <f>TEXT(A274,"ddd")</f>
        <v/>
      </c>
      <c r="C274" s="0">
        <f>IFERROR(INDEX(lunar_ref!$B:$B,MATCH($A274,lunar_ref!$A:$A,0)),"")</f>
        <v/>
      </c>
      <c r="D274" s="0">
        <f>IFERROR(INDEX(lunar_ref!$C:$C,MATCH($A274,lunar_ref!$A:$A,0)),"")</f>
        <v/>
      </c>
      <c r="E274" s="0">
        <f>_xlfn.XLOOKUP($D274,lookup!$A:$A,lookup!$B:$B)</f>
        <v/>
      </c>
      <c r="F274" s="0">
        <f>IF($E274=1,"New",IF($E274=15,"Full",""))</f>
        <v/>
      </c>
      <c r="H274" s="0">
        <f>IF($E274="","",IF(OR($E274=8,$E274=14,$E274=15,$E274=23,$E275=1,$E276=1),"Fast day",""))</f>
        <v/>
      </c>
      <c r="I274" s="0">
        <f>IFERROR(INDEX(lookup!$E:$E,MATCH($C274,lookup!$D:$D,0)),"")</f>
        <v/>
      </c>
      <c r="J274" s="0">
        <f>IF($I274="","",IF(OR($I274=1,$I274=5,$I274=9),IF($K274="","Long fast month","Long fast month (LEAP)"),""))</f>
        <v/>
      </c>
      <c r="K274" s="0">
        <f>IFERROR(IF(INDEX(lookup!$G:$G,MATCH($C274,lookup!$D:$D,0))="LEAP","LEAP MONTH - counts as month "&amp;$I274&amp;", flagged for review",""),"")</f>
        <v/>
      </c>
    </row>
    <row r="275">
      <c r="A275" s="12">
        <f>A274+1</f>
        <v/>
      </c>
      <c r="B275" s="0">
        <f>TEXT(A275,"ddd")</f>
        <v/>
      </c>
      <c r="C275" s="0">
        <f>IFERROR(INDEX(lunar_ref!$B:$B,MATCH($A275,lunar_ref!$A:$A,0)),"")</f>
        <v/>
      </c>
      <c r="D275" s="0">
        <f>IFERROR(INDEX(lunar_ref!$C:$C,MATCH($A275,lunar_ref!$A:$A,0)),"")</f>
        <v/>
      </c>
      <c r="E275" s="0">
        <f>_xlfn.XLOOKUP($D275,lookup!$A:$A,lookup!$B:$B)</f>
        <v/>
      </c>
      <c r="F275" s="0">
        <f>IF($E275=1,"New",IF($E275=15,"Full",""))</f>
        <v/>
      </c>
      <c r="H275" s="0">
        <f>IF($E275="","",IF(OR($E275=8,$E275=14,$E275=15,$E275=23,$E276=1,$E277=1),"Fast day",""))</f>
        <v/>
      </c>
      <c r="I275" s="0">
        <f>IFERROR(INDEX(lookup!$E:$E,MATCH($C275,lookup!$D:$D,0)),"")</f>
        <v/>
      </c>
      <c r="J275" s="0">
        <f>IF($I275="","",IF(OR($I275=1,$I275=5,$I275=9),IF($K275="","Long fast month","Long fast month (LEAP)"),""))</f>
        <v/>
      </c>
      <c r="K275" s="0">
        <f>IFERROR(IF(INDEX(lookup!$G:$G,MATCH($C275,lookup!$D:$D,0))="LEAP","LEAP MONTH - counts as month "&amp;$I275&amp;", flagged for review",""),"")</f>
        <v/>
      </c>
    </row>
    <row r="276">
      <c r="A276" s="12">
        <f>A275+1</f>
        <v/>
      </c>
      <c r="B276" s="0">
        <f>TEXT(A276,"ddd")</f>
        <v/>
      </c>
      <c r="C276" s="0">
        <f>IFERROR(INDEX(lunar_ref!$B:$B,MATCH($A276,lunar_ref!$A:$A,0)),"")</f>
        <v/>
      </c>
      <c r="D276" s="0">
        <f>IFERROR(INDEX(lunar_ref!$C:$C,MATCH($A276,lunar_ref!$A:$A,0)),"")</f>
        <v/>
      </c>
      <c r="E276" s="0">
        <f>_xlfn.XLOOKUP($D276,lookup!$A:$A,lookup!$B:$B)</f>
        <v/>
      </c>
      <c r="F276" s="0">
        <f>IF($E276=1,"New",IF($E276=15,"Full",""))</f>
        <v/>
      </c>
      <c r="H276" s="0">
        <f>IF($E276="","",IF(OR($E276=8,$E276=14,$E276=15,$E276=23,$E277=1,$E278=1),"Fast day",""))</f>
        <v/>
      </c>
      <c r="I276" s="0">
        <f>IFERROR(INDEX(lookup!$E:$E,MATCH($C276,lookup!$D:$D,0)),"")</f>
        <v/>
      </c>
      <c r="J276" s="0">
        <f>IF($I276="","",IF(OR($I276=1,$I276=5,$I276=9),IF($K276="","Long fast month","Long fast month (LEAP)"),""))</f>
        <v/>
      </c>
      <c r="K276" s="0">
        <f>IFERROR(IF(INDEX(lookup!$G:$G,MATCH($C276,lookup!$D:$D,0))="LEAP","LEAP MONTH - counts as month "&amp;$I276&amp;", flagged for review",""),"")</f>
        <v/>
      </c>
    </row>
    <row r="277">
      <c r="A277" s="12">
        <f>A276+1</f>
        <v/>
      </c>
      <c r="B277" s="0">
        <f>TEXT(A277,"ddd")</f>
        <v/>
      </c>
      <c r="C277" s="0">
        <f>IFERROR(INDEX(lunar_ref!$B:$B,MATCH($A277,lunar_ref!$A:$A,0)),"")</f>
        <v/>
      </c>
      <c r="D277" s="0">
        <f>IFERROR(INDEX(lunar_ref!$C:$C,MATCH($A277,lunar_ref!$A:$A,0)),"")</f>
        <v/>
      </c>
      <c r="E277" s="0">
        <f>_xlfn.XLOOKUP($D277,lookup!$A:$A,lookup!$B:$B)</f>
        <v/>
      </c>
      <c r="F277" s="0">
        <f>IF($E277=1,"New",IF($E277=15,"Full",""))</f>
        <v/>
      </c>
      <c r="H277" s="0">
        <f>IF($E277="","",IF(OR($E277=8,$E277=14,$E277=15,$E277=23,$E278=1,$E279=1),"Fast day",""))</f>
        <v/>
      </c>
      <c r="I277" s="0">
        <f>IFERROR(INDEX(lookup!$E:$E,MATCH($C277,lookup!$D:$D,0)),"")</f>
        <v/>
      </c>
      <c r="J277" s="0">
        <f>IF($I277="","",IF(OR($I277=1,$I277=5,$I277=9),IF($K277="","Long fast month","Long fast month (LEAP)"),""))</f>
        <v/>
      </c>
      <c r="K277" s="0">
        <f>IFERROR(IF(INDEX(lookup!$G:$G,MATCH($C277,lookup!$D:$D,0))="LEAP","LEAP MONTH - counts as month "&amp;$I277&amp;", flagged for review",""),"")</f>
        <v/>
      </c>
    </row>
    <row r="278">
      <c r="A278" s="12">
        <f>A277+1</f>
        <v/>
      </c>
      <c r="B278" s="0">
        <f>TEXT(A278,"ddd")</f>
        <v/>
      </c>
      <c r="C278" s="0">
        <f>IFERROR(INDEX(lunar_ref!$B:$B,MATCH($A278,lunar_ref!$A:$A,0)),"")</f>
        <v/>
      </c>
      <c r="D278" s="0">
        <f>IFERROR(INDEX(lunar_ref!$C:$C,MATCH($A278,lunar_ref!$A:$A,0)),"")</f>
        <v/>
      </c>
      <c r="E278" s="0">
        <f>_xlfn.XLOOKUP($D278,lookup!$A:$A,lookup!$B:$B)</f>
        <v/>
      </c>
      <c r="F278" s="0">
        <f>IF($E278=1,"New",IF($E278=15,"Full",""))</f>
        <v/>
      </c>
      <c r="H278" s="0">
        <f>IF($E278="","",IF(OR($E278=8,$E278=14,$E278=15,$E278=23,$E279=1,$E280=1),"Fast day",""))</f>
        <v/>
      </c>
      <c r="I278" s="0">
        <f>IFERROR(INDEX(lookup!$E:$E,MATCH($C278,lookup!$D:$D,0)),"")</f>
        <v/>
      </c>
      <c r="J278" s="0">
        <f>IF($I278="","",IF(OR($I278=1,$I278=5,$I278=9),IF($K278="","Long fast month","Long fast month (LEAP)"),""))</f>
        <v/>
      </c>
      <c r="K278" s="0">
        <f>IFERROR(IF(INDEX(lookup!$G:$G,MATCH($C278,lookup!$D:$D,0))="LEAP","LEAP MONTH - counts as month "&amp;$I278&amp;", flagged for review",""),"")</f>
        <v/>
      </c>
    </row>
    <row r="279">
      <c r="A279" s="12">
        <f>A278+1</f>
        <v/>
      </c>
      <c r="B279" s="0">
        <f>TEXT(A279,"ddd")</f>
        <v/>
      </c>
      <c r="C279" s="0">
        <f>IFERROR(INDEX(lunar_ref!$B:$B,MATCH($A279,lunar_ref!$A:$A,0)),"")</f>
        <v/>
      </c>
      <c r="D279" s="0">
        <f>IFERROR(INDEX(lunar_ref!$C:$C,MATCH($A279,lunar_ref!$A:$A,0)),"")</f>
        <v/>
      </c>
      <c r="E279" s="0">
        <f>_xlfn.XLOOKUP($D279,lookup!$A:$A,lookup!$B:$B)</f>
        <v/>
      </c>
      <c r="F279" s="0">
        <f>IF($E279=1,"New",IF($E279=15,"Full",""))</f>
        <v/>
      </c>
      <c r="H279" s="0">
        <f>IF($E279="","",IF(OR($E279=8,$E279=14,$E279=15,$E279=23,$E280=1,$E281=1),"Fast day",""))</f>
        <v/>
      </c>
      <c r="I279" s="0">
        <f>IFERROR(INDEX(lookup!$E:$E,MATCH($C279,lookup!$D:$D,0)),"")</f>
        <v/>
      </c>
      <c r="J279" s="0">
        <f>IF($I279="","",IF(OR($I279=1,$I279=5,$I279=9),IF($K279="","Long fast month","Long fast month (LEAP)"),""))</f>
        <v/>
      </c>
      <c r="K279" s="0">
        <f>IFERROR(IF(INDEX(lookup!$G:$G,MATCH($C279,lookup!$D:$D,0))="LEAP","LEAP MONTH - counts as month "&amp;$I279&amp;", flagged for review",""),"")</f>
        <v/>
      </c>
    </row>
    <row r="280">
      <c r="A280" s="12">
        <f>A279+1</f>
        <v/>
      </c>
      <c r="B280" s="0">
        <f>TEXT(A280,"ddd")</f>
        <v/>
      </c>
      <c r="C280" s="0">
        <f>IFERROR(INDEX(lunar_ref!$B:$B,MATCH($A280,lunar_ref!$A:$A,0)),"")</f>
        <v/>
      </c>
      <c r="D280" s="0">
        <f>IFERROR(INDEX(lunar_ref!$C:$C,MATCH($A280,lunar_ref!$A:$A,0)),"")</f>
        <v/>
      </c>
      <c r="E280" s="0">
        <f>_xlfn.XLOOKUP($D280,lookup!$A:$A,lookup!$B:$B)</f>
        <v/>
      </c>
      <c r="F280" s="0">
        <f>IF($E280=1,"New",IF($E280=15,"Full",""))</f>
        <v/>
      </c>
      <c r="H280" s="0">
        <f>IF($E280="","",IF(OR($E280=8,$E280=14,$E280=15,$E280=23,$E281=1,$E282=1),"Fast day",""))</f>
        <v/>
      </c>
      <c r="I280" s="0">
        <f>IFERROR(INDEX(lookup!$E:$E,MATCH($C280,lookup!$D:$D,0)),"")</f>
        <v/>
      </c>
      <c r="J280" s="0">
        <f>IF($I280="","",IF(OR($I280=1,$I280=5,$I280=9),IF($K280="","Long fast month","Long fast month (LEAP)"),""))</f>
        <v/>
      </c>
      <c r="K280" s="0">
        <f>IFERROR(IF(INDEX(lookup!$G:$G,MATCH($C280,lookup!$D:$D,0))="LEAP","LEAP MONTH - counts as month "&amp;$I280&amp;", flagged for review",""),"")</f>
        <v/>
      </c>
    </row>
    <row r="281">
      <c r="A281" s="12">
        <f>A280+1</f>
        <v/>
      </c>
      <c r="B281" s="0">
        <f>TEXT(A281,"ddd")</f>
        <v/>
      </c>
      <c r="C281" s="0">
        <f>IFERROR(INDEX(lunar_ref!$B:$B,MATCH($A281,lunar_ref!$A:$A,0)),"")</f>
        <v/>
      </c>
      <c r="D281" s="0">
        <f>IFERROR(INDEX(lunar_ref!$C:$C,MATCH($A281,lunar_ref!$A:$A,0)),"")</f>
        <v/>
      </c>
      <c r="E281" s="0">
        <f>_xlfn.XLOOKUP($D281,lookup!$A:$A,lookup!$B:$B)</f>
        <v/>
      </c>
      <c r="F281" s="0">
        <f>IF($E281=1,"New",IF($E281=15,"Full",""))</f>
        <v/>
      </c>
      <c r="H281" s="0">
        <f>IF($E281="","",IF(OR($E281=8,$E281=14,$E281=15,$E281=23,$E282=1,$E283=1),"Fast day",""))</f>
        <v/>
      </c>
      <c r="I281" s="0">
        <f>IFERROR(INDEX(lookup!$E:$E,MATCH($C281,lookup!$D:$D,0)),"")</f>
        <v/>
      </c>
      <c r="J281" s="0">
        <f>IF($I281="","",IF(OR($I281=1,$I281=5,$I281=9),IF($K281="","Long fast month","Long fast month (LEAP)"),""))</f>
        <v/>
      </c>
      <c r="K281" s="0">
        <f>IFERROR(IF(INDEX(lookup!$G:$G,MATCH($C281,lookup!$D:$D,0))="LEAP","LEAP MONTH - counts as month "&amp;$I281&amp;", flagged for review",""),"")</f>
        <v/>
      </c>
    </row>
    <row r="282">
      <c r="A282" s="12">
        <f>A281+1</f>
        <v/>
      </c>
      <c r="B282" s="0">
        <f>TEXT(A282,"ddd")</f>
        <v/>
      </c>
      <c r="C282" s="0">
        <f>IFERROR(INDEX(lunar_ref!$B:$B,MATCH($A282,lunar_ref!$A:$A,0)),"")</f>
        <v/>
      </c>
      <c r="D282" s="0">
        <f>IFERROR(INDEX(lunar_ref!$C:$C,MATCH($A282,lunar_ref!$A:$A,0)),"")</f>
        <v/>
      </c>
      <c r="E282" s="0">
        <f>_xlfn.XLOOKUP($D282,lookup!$A:$A,lookup!$B:$B)</f>
        <v/>
      </c>
      <c r="F282" s="0">
        <f>IF($E282=1,"New",IF($E282=15,"Full",""))</f>
        <v/>
      </c>
      <c r="H282" s="0">
        <f>IF($E282="","",IF(OR($E282=8,$E282=14,$E282=15,$E282=23,$E283=1,$E284=1),"Fast day",""))</f>
        <v/>
      </c>
      <c r="I282" s="0">
        <f>IFERROR(INDEX(lookup!$E:$E,MATCH($C282,lookup!$D:$D,0)),"")</f>
        <v/>
      </c>
      <c r="J282" s="0">
        <f>IF($I282="","",IF(OR($I282=1,$I282=5,$I282=9),IF($K282="","Long fast month","Long fast month (LEAP)"),""))</f>
        <v/>
      </c>
      <c r="K282" s="0">
        <f>IFERROR(IF(INDEX(lookup!$G:$G,MATCH($C282,lookup!$D:$D,0))="LEAP","LEAP MONTH - counts as month "&amp;$I282&amp;", flagged for review",""),"")</f>
        <v/>
      </c>
    </row>
    <row r="283">
      <c r="A283" s="12">
        <f>A282+1</f>
        <v/>
      </c>
      <c r="B283" s="0">
        <f>TEXT(A283,"ddd")</f>
        <v/>
      </c>
      <c r="C283" s="0">
        <f>IFERROR(INDEX(lunar_ref!$B:$B,MATCH($A283,lunar_ref!$A:$A,0)),"")</f>
        <v/>
      </c>
      <c r="D283" s="0">
        <f>IFERROR(INDEX(lunar_ref!$C:$C,MATCH($A283,lunar_ref!$A:$A,0)),"")</f>
        <v/>
      </c>
      <c r="E283" s="0">
        <f>_xlfn.XLOOKUP($D283,lookup!$A:$A,lookup!$B:$B)</f>
        <v/>
      </c>
      <c r="F283" s="0">
        <f>IF($E283=1,"New",IF($E283=15,"Full",""))</f>
        <v/>
      </c>
      <c r="H283" s="0">
        <f>IF($E283="","",IF(OR($E283=8,$E283=14,$E283=15,$E283=23,$E284=1,$E285=1),"Fast day",""))</f>
        <v/>
      </c>
      <c r="I283" s="0">
        <f>IFERROR(INDEX(lookup!$E:$E,MATCH($C283,lookup!$D:$D,0)),"")</f>
        <v/>
      </c>
      <c r="J283" s="0">
        <f>IF($I283="","",IF(OR($I283=1,$I283=5,$I283=9),IF($K283="","Long fast month","Long fast month (LEAP)"),""))</f>
        <v/>
      </c>
      <c r="K283" s="0">
        <f>IFERROR(IF(INDEX(lookup!$G:$G,MATCH($C283,lookup!$D:$D,0))="LEAP","LEAP MONTH - counts as month "&amp;$I283&amp;", flagged for review",""),"")</f>
        <v/>
      </c>
    </row>
    <row r="284">
      <c r="A284" s="12">
        <f>A283+1</f>
        <v/>
      </c>
      <c r="B284" s="0">
        <f>TEXT(A284,"ddd")</f>
        <v/>
      </c>
      <c r="C284" s="0">
        <f>IFERROR(INDEX(lunar_ref!$B:$B,MATCH($A284,lunar_ref!$A:$A,0)),"")</f>
        <v/>
      </c>
      <c r="D284" s="0">
        <f>IFERROR(INDEX(lunar_ref!$C:$C,MATCH($A284,lunar_ref!$A:$A,0)),"")</f>
        <v/>
      </c>
      <c r="E284" s="0">
        <f>_xlfn.XLOOKUP($D284,lookup!$A:$A,lookup!$B:$B)</f>
        <v/>
      </c>
      <c r="F284" s="0">
        <f>IF($E284=1,"New",IF($E284=15,"Full",""))</f>
        <v/>
      </c>
      <c r="H284" s="0">
        <f>IF($E284="","",IF(OR($E284=8,$E284=14,$E284=15,$E284=23,$E285=1,$E286=1),"Fast day",""))</f>
        <v/>
      </c>
      <c r="I284" s="0">
        <f>IFERROR(INDEX(lookup!$E:$E,MATCH($C284,lookup!$D:$D,0)),"")</f>
        <v/>
      </c>
      <c r="J284" s="0">
        <f>IF($I284="","",IF(OR($I284=1,$I284=5,$I284=9),IF($K284="","Long fast month","Long fast month (LEAP)"),""))</f>
        <v/>
      </c>
      <c r="K284" s="0">
        <f>IFERROR(IF(INDEX(lookup!$G:$G,MATCH($C284,lookup!$D:$D,0))="LEAP","LEAP MONTH - counts as month "&amp;$I284&amp;", flagged for review",""),"")</f>
        <v/>
      </c>
    </row>
    <row r="285">
      <c r="A285" s="12">
        <f>A284+1</f>
        <v/>
      </c>
      <c r="B285" s="0">
        <f>TEXT(A285,"ddd")</f>
        <v/>
      </c>
      <c r="C285" s="0">
        <f>IFERROR(INDEX(lunar_ref!$B:$B,MATCH($A285,lunar_ref!$A:$A,0)),"")</f>
        <v/>
      </c>
      <c r="D285" s="0">
        <f>IFERROR(INDEX(lunar_ref!$C:$C,MATCH($A285,lunar_ref!$A:$A,0)),"")</f>
        <v/>
      </c>
      <c r="E285" s="0">
        <f>_xlfn.XLOOKUP($D285,lookup!$A:$A,lookup!$B:$B)</f>
        <v/>
      </c>
      <c r="F285" s="0">
        <f>IF($E285=1,"New",IF($E285=15,"Full",""))</f>
        <v/>
      </c>
      <c r="H285" s="0">
        <f>IF($E285="","",IF(OR($E285=8,$E285=14,$E285=15,$E285=23,$E286=1,$E287=1),"Fast day",""))</f>
        <v/>
      </c>
      <c r="I285" s="0">
        <f>IFERROR(INDEX(lookup!$E:$E,MATCH($C285,lookup!$D:$D,0)),"")</f>
        <v/>
      </c>
      <c r="J285" s="0">
        <f>IF($I285="","",IF(OR($I285=1,$I285=5,$I285=9),IF($K285="","Long fast month","Long fast month (LEAP)"),""))</f>
        <v/>
      </c>
      <c r="K285" s="0">
        <f>IFERROR(IF(INDEX(lookup!$G:$G,MATCH($C285,lookup!$D:$D,0))="LEAP","LEAP MONTH - counts as month "&amp;$I285&amp;", flagged for review",""),"")</f>
        <v/>
      </c>
    </row>
    <row r="286">
      <c r="A286" s="12">
        <f>A285+1</f>
        <v/>
      </c>
      <c r="B286" s="0">
        <f>TEXT(A286,"ddd")</f>
        <v/>
      </c>
      <c r="C286" s="0">
        <f>IFERROR(INDEX(lunar_ref!$B:$B,MATCH($A286,lunar_ref!$A:$A,0)),"")</f>
        <v/>
      </c>
      <c r="D286" s="0">
        <f>IFERROR(INDEX(lunar_ref!$C:$C,MATCH($A286,lunar_ref!$A:$A,0)),"")</f>
        <v/>
      </c>
      <c r="E286" s="0">
        <f>_xlfn.XLOOKUP($D286,lookup!$A:$A,lookup!$B:$B)</f>
        <v/>
      </c>
      <c r="F286" s="0">
        <f>IF($E286=1,"New",IF($E286=15,"Full",""))</f>
        <v/>
      </c>
      <c r="H286" s="0">
        <f>IF($E286="","",IF(OR($E286=8,$E286=14,$E286=15,$E286=23,$E287=1,$E288=1),"Fast day",""))</f>
        <v/>
      </c>
      <c r="I286" s="0">
        <f>IFERROR(INDEX(lookup!$E:$E,MATCH($C286,lookup!$D:$D,0)),"")</f>
        <v/>
      </c>
      <c r="J286" s="0">
        <f>IF($I286="","",IF(OR($I286=1,$I286=5,$I286=9),IF($K286="","Long fast month","Long fast month (LEAP)"),""))</f>
        <v/>
      </c>
      <c r="K286" s="0">
        <f>IFERROR(IF(INDEX(lookup!$G:$G,MATCH($C286,lookup!$D:$D,0))="LEAP","LEAP MONTH - counts as month "&amp;$I286&amp;", flagged for review",""),"")</f>
        <v/>
      </c>
    </row>
    <row r="287">
      <c r="A287" s="12">
        <f>A286+1</f>
        <v/>
      </c>
      <c r="B287" s="0">
        <f>TEXT(A287,"ddd")</f>
        <v/>
      </c>
      <c r="C287" s="0">
        <f>IFERROR(INDEX(lunar_ref!$B:$B,MATCH($A287,lunar_ref!$A:$A,0)),"")</f>
        <v/>
      </c>
      <c r="D287" s="0">
        <f>IFERROR(INDEX(lunar_ref!$C:$C,MATCH($A287,lunar_ref!$A:$A,0)),"")</f>
        <v/>
      </c>
      <c r="E287" s="0">
        <f>_xlfn.XLOOKUP($D287,lookup!$A:$A,lookup!$B:$B)</f>
        <v/>
      </c>
      <c r="F287" s="0">
        <f>IF($E287=1,"New",IF($E287=15,"Full",""))</f>
        <v/>
      </c>
      <c r="H287" s="0">
        <f>IF($E287="","",IF(OR($E287=8,$E287=14,$E287=15,$E287=23,$E288=1,$E289=1),"Fast day",""))</f>
        <v/>
      </c>
      <c r="I287" s="0">
        <f>IFERROR(INDEX(lookup!$E:$E,MATCH($C287,lookup!$D:$D,0)),"")</f>
        <v/>
      </c>
      <c r="J287" s="0">
        <f>IF($I287="","",IF(OR($I287=1,$I287=5,$I287=9),IF($K287="","Long fast month","Long fast month (LEAP)"),""))</f>
        <v/>
      </c>
      <c r="K287" s="0">
        <f>IFERROR(IF(INDEX(lookup!$G:$G,MATCH($C287,lookup!$D:$D,0))="LEAP","LEAP MONTH - counts as month "&amp;$I287&amp;", flagged for review",""),"")</f>
        <v/>
      </c>
    </row>
    <row r="288">
      <c r="A288" s="12">
        <f>A287+1</f>
        <v/>
      </c>
      <c r="B288" s="0">
        <f>TEXT(A288,"ddd")</f>
        <v/>
      </c>
      <c r="C288" s="0">
        <f>IFERROR(INDEX(lunar_ref!$B:$B,MATCH($A288,lunar_ref!$A:$A,0)),"")</f>
        <v/>
      </c>
      <c r="D288" s="0">
        <f>IFERROR(INDEX(lunar_ref!$C:$C,MATCH($A288,lunar_ref!$A:$A,0)),"")</f>
        <v/>
      </c>
      <c r="E288" s="0">
        <f>_xlfn.XLOOKUP($D288,lookup!$A:$A,lookup!$B:$B)</f>
        <v/>
      </c>
      <c r="F288" s="0">
        <f>IF($E288=1,"New",IF($E288=15,"Full",""))</f>
        <v/>
      </c>
      <c r="H288" s="0">
        <f>IF($E288="","",IF(OR($E288=8,$E288=14,$E288=15,$E288=23,$E289=1,$E290=1),"Fast day",""))</f>
        <v/>
      </c>
      <c r="I288" s="0">
        <f>IFERROR(INDEX(lookup!$E:$E,MATCH($C288,lookup!$D:$D,0)),"")</f>
        <v/>
      </c>
      <c r="J288" s="0">
        <f>IF($I288="","",IF(OR($I288=1,$I288=5,$I288=9),IF($K288="","Long fast month","Long fast month (LEAP)"),""))</f>
        <v/>
      </c>
      <c r="K288" s="0">
        <f>IFERROR(IF(INDEX(lookup!$G:$G,MATCH($C288,lookup!$D:$D,0))="LEAP","LEAP MONTH - counts as month "&amp;$I288&amp;", flagged for review",""),"")</f>
        <v/>
      </c>
    </row>
    <row r="289">
      <c r="A289" s="12">
        <f>A288+1</f>
        <v/>
      </c>
      <c r="B289" s="0">
        <f>TEXT(A289,"ddd")</f>
        <v/>
      </c>
      <c r="C289" s="0">
        <f>IFERROR(INDEX(lunar_ref!$B:$B,MATCH($A289,lunar_ref!$A:$A,0)),"")</f>
        <v/>
      </c>
      <c r="D289" s="0">
        <f>IFERROR(INDEX(lunar_ref!$C:$C,MATCH($A289,lunar_ref!$A:$A,0)),"")</f>
        <v/>
      </c>
      <c r="E289" s="0">
        <f>_xlfn.XLOOKUP($D289,lookup!$A:$A,lookup!$B:$B)</f>
        <v/>
      </c>
      <c r="F289" s="0">
        <f>IF($E289=1,"New",IF($E289=15,"Full",""))</f>
        <v/>
      </c>
      <c r="H289" s="0">
        <f>IF($E289="","",IF(OR($E289=8,$E289=14,$E289=15,$E289=23,$E290=1,$E291=1),"Fast day",""))</f>
        <v/>
      </c>
      <c r="I289" s="0">
        <f>IFERROR(INDEX(lookup!$E:$E,MATCH($C289,lookup!$D:$D,0)),"")</f>
        <v/>
      </c>
      <c r="J289" s="0">
        <f>IF($I289="","",IF(OR($I289=1,$I289=5,$I289=9),IF($K289="","Long fast month","Long fast month (LEAP)"),""))</f>
        <v/>
      </c>
      <c r="K289" s="0">
        <f>IFERROR(IF(INDEX(lookup!$G:$G,MATCH($C289,lookup!$D:$D,0))="LEAP","LEAP MONTH - counts as month "&amp;$I289&amp;", flagged for review",""),"")</f>
        <v/>
      </c>
    </row>
    <row r="290">
      <c r="A290" s="12">
        <f>A289+1</f>
        <v/>
      </c>
      <c r="B290" s="0">
        <f>TEXT(A290,"ddd")</f>
        <v/>
      </c>
      <c r="C290" s="0">
        <f>IFERROR(INDEX(lunar_ref!$B:$B,MATCH($A290,lunar_ref!$A:$A,0)),"")</f>
        <v/>
      </c>
      <c r="D290" s="0">
        <f>IFERROR(INDEX(lunar_ref!$C:$C,MATCH($A290,lunar_ref!$A:$A,0)),"")</f>
        <v/>
      </c>
      <c r="E290" s="0">
        <f>_xlfn.XLOOKUP($D290,lookup!$A:$A,lookup!$B:$B)</f>
        <v/>
      </c>
      <c r="F290" s="0">
        <f>IF($E290=1,"New",IF($E290=15,"Full",""))</f>
        <v/>
      </c>
      <c r="H290" s="0">
        <f>IF($E290="","",IF(OR($E290=8,$E290=14,$E290=15,$E290=23,$E291=1,$E292=1),"Fast day",""))</f>
        <v/>
      </c>
      <c r="I290" s="0">
        <f>IFERROR(INDEX(lookup!$E:$E,MATCH($C290,lookup!$D:$D,0)),"")</f>
        <v/>
      </c>
      <c r="J290" s="0">
        <f>IF($I290="","",IF(OR($I290=1,$I290=5,$I290=9),IF($K290="","Long fast month","Long fast month (LEAP)"),""))</f>
        <v/>
      </c>
      <c r="K290" s="0">
        <f>IFERROR(IF(INDEX(lookup!$G:$G,MATCH($C290,lookup!$D:$D,0))="LEAP","LEAP MONTH - counts as month "&amp;$I290&amp;", flagged for review",""),"")</f>
        <v/>
      </c>
    </row>
    <row r="291">
      <c r="A291" s="12">
        <f>A290+1</f>
        <v/>
      </c>
      <c r="B291" s="0">
        <f>TEXT(A291,"ddd")</f>
        <v/>
      </c>
      <c r="C291" s="0">
        <f>IFERROR(INDEX(lunar_ref!$B:$B,MATCH($A291,lunar_ref!$A:$A,0)),"")</f>
        <v/>
      </c>
      <c r="D291" s="0">
        <f>IFERROR(INDEX(lunar_ref!$C:$C,MATCH($A291,lunar_ref!$A:$A,0)),"")</f>
        <v/>
      </c>
      <c r="E291" s="0">
        <f>_xlfn.XLOOKUP($D291,lookup!$A:$A,lookup!$B:$B)</f>
        <v/>
      </c>
      <c r="F291" s="0">
        <f>IF($E291=1,"New",IF($E291=15,"Full",""))</f>
        <v/>
      </c>
      <c r="H291" s="0">
        <f>IF($E291="","",IF(OR($E291=8,$E291=14,$E291=15,$E291=23,$E292=1,$E293=1),"Fast day",""))</f>
        <v/>
      </c>
      <c r="I291" s="0">
        <f>IFERROR(INDEX(lookup!$E:$E,MATCH($C291,lookup!$D:$D,0)),"")</f>
        <v/>
      </c>
      <c r="J291" s="0">
        <f>IF($I291="","",IF(OR($I291=1,$I291=5,$I291=9),IF($K291="","Long fast month","Long fast month (LEAP)"),""))</f>
        <v/>
      </c>
      <c r="K291" s="0">
        <f>IFERROR(IF(INDEX(lookup!$G:$G,MATCH($C291,lookup!$D:$D,0))="LEAP","LEAP MONTH - counts as month "&amp;$I291&amp;", flagged for review",""),"")</f>
        <v/>
      </c>
    </row>
    <row r="292">
      <c r="A292" s="12">
        <f>A291+1</f>
        <v/>
      </c>
      <c r="B292" s="0">
        <f>TEXT(A292,"ddd")</f>
        <v/>
      </c>
      <c r="C292" s="0">
        <f>IFERROR(INDEX(lunar_ref!$B:$B,MATCH($A292,lunar_ref!$A:$A,0)),"")</f>
        <v/>
      </c>
      <c r="D292" s="0">
        <f>IFERROR(INDEX(lunar_ref!$C:$C,MATCH($A292,lunar_ref!$A:$A,0)),"")</f>
        <v/>
      </c>
      <c r="E292" s="0">
        <f>_xlfn.XLOOKUP($D292,lookup!$A:$A,lookup!$B:$B)</f>
        <v/>
      </c>
      <c r="F292" s="0">
        <f>IF($E292=1,"New",IF($E292=15,"Full",""))</f>
        <v/>
      </c>
      <c r="H292" s="0">
        <f>IF($E292="","",IF(OR($E292=8,$E292=14,$E292=15,$E292=23,$E293=1,$E294=1),"Fast day",""))</f>
        <v/>
      </c>
      <c r="I292" s="0">
        <f>IFERROR(INDEX(lookup!$E:$E,MATCH($C292,lookup!$D:$D,0)),"")</f>
        <v/>
      </c>
      <c r="J292" s="0">
        <f>IF($I292="","",IF(OR($I292=1,$I292=5,$I292=9),IF($K292="","Long fast month","Long fast month (LEAP)"),""))</f>
        <v/>
      </c>
      <c r="K292" s="0">
        <f>IFERROR(IF(INDEX(lookup!$G:$G,MATCH($C292,lookup!$D:$D,0))="LEAP","LEAP MONTH - counts as month "&amp;$I292&amp;", flagged for review",""),"")</f>
        <v/>
      </c>
    </row>
    <row r="293">
      <c r="A293" s="12">
        <f>A292+1</f>
        <v/>
      </c>
      <c r="B293" s="0">
        <f>TEXT(A293,"ddd")</f>
        <v/>
      </c>
      <c r="C293" s="0">
        <f>IFERROR(INDEX(lunar_ref!$B:$B,MATCH($A293,lunar_ref!$A:$A,0)),"")</f>
        <v/>
      </c>
      <c r="D293" s="0">
        <f>IFERROR(INDEX(lunar_ref!$C:$C,MATCH($A293,lunar_ref!$A:$A,0)),"")</f>
        <v/>
      </c>
      <c r="E293" s="0">
        <f>_xlfn.XLOOKUP($D293,lookup!$A:$A,lookup!$B:$B)</f>
        <v/>
      </c>
      <c r="F293" s="0">
        <f>IF($E293=1,"New",IF($E293=15,"Full",""))</f>
        <v/>
      </c>
      <c r="H293" s="0">
        <f>IF($E293="","",IF(OR($E293=8,$E293=14,$E293=15,$E293=23,$E294=1,$E295=1),"Fast day",""))</f>
        <v/>
      </c>
      <c r="I293" s="0">
        <f>IFERROR(INDEX(lookup!$E:$E,MATCH($C293,lookup!$D:$D,0)),"")</f>
        <v/>
      </c>
      <c r="J293" s="0">
        <f>IF($I293="","",IF(OR($I293=1,$I293=5,$I293=9),IF($K293="","Long fast month","Long fast month (LEAP)"),""))</f>
        <v/>
      </c>
      <c r="K293" s="0">
        <f>IFERROR(IF(INDEX(lookup!$G:$G,MATCH($C293,lookup!$D:$D,0))="LEAP","LEAP MONTH - counts as month "&amp;$I293&amp;", flagged for review",""),"")</f>
        <v/>
      </c>
    </row>
    <row r="294">
      <c r="A294" s="12">
        <f>A293+1</f>
        <v/>
      </c>
      <c r="B294" s="0">
        <f>TEXT(A294,"ddd")</f>
        <v/>
      </c>
      <c r="C294" s="0">
        <f>IFERROR(INDEX(lunar_ref!$B:$B,MATCH($A294,lunar_ref!$A:$A,0)),"")</f>
        <v/>
      </c>
      <c r="D294" s="0">
        <f>IFERROR(INDEX(lunar_ref!$C:$C,MATCH($A294,lunar_ref!$A:$A,0)),"")</f>
        <v/>
      </c>
      <c r="E294" s="0">
        <f>_xlfn.XLOOKUP($D294,lookup!$A:$A,lookup!$B:$B)</f>
        <v/>
      </c>
      <c r="F294" s="0">
        <f>IF($E294=1,"New",IF($E294=15,"Full",""))</f>
        <v/>
      </c>
      <c r="H294" s="0">
        <f>IF($E294="","",IF(OR($E294=8,$E294=14,$E294=15,$E294=23,$E295=1,$E296=1),"Fast day",""))</f>
        <v/>
      </c>
      <c r="I294" s="0">
        <f>IFERROR(INDEX(lookup!$E:$E,MATCH($C294,lookup!$D:$D,0)),"")</f>
        <v/>
      </c>
      <c r="J294" s="0">
        <f>IF($I294="","",IF(OR($I294=1,$I294=5,$I294=9),IF($K294="","Long fast month","Long fast month (LEAP)"),""))</f>
        <v/>
      </c>
      <c r="K294" s="0">
        <f>IFERROR(IF(INDEX(lookup!$G:$G,MATCH($C294,lookup!$D:$D,0))="LEAP","LEAP MONTH - counts as month "&amp;$I294&amp;", flagged for review",""),"")</f>
        <v/>
      </c>
    </row>
    <row r="295">
      <c r="A295" s="12">
        <f>A294+1</f>
        <v/>
      </c>
      <c r="B295" s="0">
        <f>TEXT(A295,"ddd")</f>
        <v/>
      </c>
      <c r="C295" s="0">
        <f>IFERROR(INDEX(lunar_ref!$B:$B,MATCH($A295,lunar_ref!$A:$A,0)),"")</f>
        <v/>
      </c>
      <c r="D295" s="0">
        <f>IFERROR(INDEX(lunar_ref!$C:$C,MATCH($A295,lunar_ref!$A:$A,0)),"")</f>
        <v/>
      </c>
      <c r="E295" s="0">
        <f>_xlfn.XLOOKUP($D295,lookup!$A:$A,lookup!$B:$B)</f>
        <v/>
      </c>
      <c r="F295" s="0">
        <f>IF($E295=1,"New",IF($E295=15,"Full",""))</f>
        <v/>
      </c>
      <c r="H295" s="0">
        <f>IF($E295="","",IF(OR($E295=8,$E295=14,$E295=15,$E295=23,$E296=1,$E297=1),"Fast day",""))</f>
        <v/>
      </c>
      <c r="I295" s="0">
        <f>IFERROR(INDEX(lookup!$E:$E,MATCH($C295,lookup!$D:$D,0)),"")</f>
        <v/>
      </c>
      <c r="J295" s="0">
        <f>IF($I295="","",IF(OR($I295=1,$I295=5,$I295=9),IF($K295="","Long fast month","Long fast month (LEAP)"),""))</f>
        <v/>
      </c>
      <c r="K295" s="0">
        <f>IFERROR(IF(INDEX(lookup!$G:$G,MATCH($C295,lookup!$D:$D,0))="LEAP","LEAP MONTH - counts as month "&amp;$I295&amp;", flagged for review",""),"")</f>
        <v/>
      </c>
    </row>
    <row r="296">
      <c r="A296" s="12">
        <f>A295+1</f>
        <v/>
      </c>
      <c r="B296" s="0">
        <f>TEXT(A296,"ddd")</f>
        <v/>
      </c>
      <c r="C296" s="0">
        <f>IFERROR(INDEX(lunar_ref!$B:$B,MATCH($A296,lunar_ref!$A:$A,0)),"")</f>
        <v/>
      </c>
      <c r="D296" s="0">
        <f>IFERROR(INDEX(lunar_ref!$C:$C,MATCH($A296,lunar_ref!$A:$A,0)),"")</f>
        <v/>
      </c>
      <c r="E296" s="0">
        <f>_xlfn.XLOOKUP($D296,lookup!$A:$A,lookup!$B:$B)</f>
        <v/>
      </c>
      <c r="F296" s="0">
        <f>IF($E296=1,"New",IF($E296=15,"Full",""))</f>
        <v/>
      </c>
      <c r="H296" s="0">
        <f>IF($E296="","",IF(OR($E296=8,$E296=14,$E296=15,$E296=23,$E297=1,$E298=1),"Fast day",""))</f>
        <v/>
      </c>
      <c r="I296" s="0">
        <f>IFERROR(INDEX(lookup!$E:$E,MATCH($C296,lookup!$D:$D,0)),"")</f>
        <v/>
      </c>
      <c r="J296" s="0">
        <f>IF($I296="","",IF(OR($I296=1,$I296=5,$I296=9),IF($K296="","Long fast month","Long fast month (LEAP)"),""))</f>
        <v/>
      </c>
      <c r="K296" s="0">
        <f>IFERROR(IF(INDEX(lookup!$G:$G,MATCH($C296,lookup!$D:$D,0))="LEAP","LEAP MONTH - counts as month "&amp;$I296&amp;", flagged for review",""),"")</f>
        <v/>
      </c>
    </row>
    <row r="297">
      <c r="A297" s="12">
        <f>A296+1</f>
        <v/>
      </c>
      <c r="B297" s="0">
        <f>TEXT(A297,"ddd")</f>
        <v/>
      </c>
      <c r="C297" s="0">
        <f>IFERROR(INDEX(lunar_ref!$B:$B,MATCH($A297,lunar_ref!$A:$A,0)),"")</f>
        <v/>
      </c>
      <c r="D297" s="0">
        <f>IFERROR(INDEX(lunar_ref!$C:$C,MATCH($A297,lunar_ref!$A:$A,0)),"")</f>
        <v/>
      </c>
      <c r="E297" s="0">
        <f>_xlfn.XLOOKUP($D297,lookup!$A:$A,lookup!$B:$B)</f>
        <v/>
      </c>
      <c r="F297" s="0">
        <f>IF($E297=1,"New",IF($E297=15,"Full",""))</f>
        <v/>
      </c>
      <c r="H297" s="0">
        <f>IF($E297="","",IF(OR($E297=8,$E297=14,$E297=15,$E297=23,$E298=1,$E299=1),"Fast day",""))</f>
        <v/>
      </c>
      <c r="I297" s="0">
        <f>IFERROR(INDEX(lookup!$E:$E,MATCH($C297,lookup!$D:$D,0)),"")</f>
        <v/>
      </c>
      <c r="J297" s="0">
        <f>IF($I297="","",IF(OR($I297=1,$I297=5,$I297=9),IF($K297="","Long fast month","Long fast month (LEAP)"),""))</f>
        <v/>
      </c>
      <c r="K297" s="0">
        <f>IFERROR(IF(INDEX(lookup!$G:$G,MATCH($C297,lookup!$D:$D,0))="LEAP","LEAP MONTH - counts as month "&amp;$I297&amp;", flagged for review",""),"")</f>
        <v/>
      </c>
    </row>
    <row r="298">
      <c r="A298" s="12">
        <f>A297+1</f>
        <v/>
      </c>
      <c r="B298" s="0">
        <f>TEXT(A298,"ddd")</f>
        <v/>
      </c>
      <c r="C298" s="0">
        <f>IFERROR(INDEX(lunar_ref!$B:$B,MATCH($A298,lunar_ref!$A:$A,0)),"")</f>
        <v/>
      </c>
      <c r="D298" s="0">
        <f>IFERROR(INDEX(lunar_ref!$C:$C,MATCH($A298,lunar_ref!$A:$A,0)),"")</f>
        <v/>
      </c>
      <c r="E298" s="0">
        <f>_xlfn.XLOOKUP($D298,lookup!$A:$A,lookup!$B:$B)</f>
        <v/>
      </c>
      <c r="F298" s="0">
        <f>IF($E298=1,"New",IF($E298=15,"Full",""))</f>
        <v/>
      </c>
      <c r="H298" s="0">
        <f>IF($E298="","",IF(OR($E298=8,$E298=14,$E298=15,$E298=23,$E299=1,$E300=1),"Fast day",""))</f>
        <v/>
      </c>
      <c r="I298" s="0">
        <f>IFERROR(INDEX(lookup!$E:$E,MATCH($C298,lookup!$D:$D,0)),"")</f>
        <v/>
      </c>
      <c r="J298" s="0">
        <f>IF($I298="","",IF(OR($I298=1,$I298=5,$I298=9),IF($K298="","Long fast month","Long fast month (LEAP)"),""))</f>
        <v/>
      </c>
      <c r="K298" s="0">
        <f>IFERROR(IF(INDEX(lookup!$G:$G,MATCH($C298,lookup!$D:$D,0))="LEAP","LEAP MONTH - counts as month "&amp;$I298&amp;", flagged for review",""),"")</f>
        <v/>
      </c>
    </row>
    <row r="299">
      <c r="A299" s="12">
        <f>A298+1</f>
        <v/>
      </c>
      <c r="B299" s="0">
        <f>TEXT(A299,"ddd")</f>
        <v/>
      </c>
      <c r="C299" s="0">
        <f>IFERROR(INDEX(lunar_ref!$B:$B,MATCH($A299,lunar_ref!$A:$A,0)),"")</f>
        <v/>
      </c>
      <c r="D299" s="0">
        <f>IFERROR(INDEX(lunar_ref!$C:$C,MATCH($A299,lunar_ref!$A:$A,0)),"")</f>
        <v/>
      </c>
      <c r="E299" s="0">
        <f>_xlfn.XLOOKUP($D299,lookup!$A:$A,lookup!$B:$B)</f>
        <v/>
      </c>
      <c r="F299" s="0">
        <f>IF($E299=1,"New",IF($E299=15,"Full",""))</f>
        <v/>
      </c>
      <c r="H299" s="0">
        <f>IF($E299="","",IF(OR($E299=8,$E299=14,$E299=15,$E299=23,$E300=1,$E301=1),"Fast day",""))</f>
        <v/>
      </c>
      <c r="I299" s="0">
        <f>IFERROR(INDEX(lookup!$E:$E,MATCH($C299,lookup!$D:$D,0)),"")</f>
        <v/>
      </c>
      <c r="J299" s="0">
        <f>IF($I299="","",IF(OR($I299=1,$I299=5,$I299=9),IF($K299="","Long fast month","Long fast month (LEAP)"),""))</f>
        <v/>
      </c>
      <c r="K299" s="0">
        <f>IFERROR(IF(INDEX(lookup!$G:$G,MATCH($C299,lookup!$D:$D,0))="LEAP","LEAP MONTH - counts as month "&amp;$I299&amp;", flagged for review",""),"")</f>
        <v/>
      </c>
    </row>
    <row r="300">
      <c r="A300" s="12">
        <f>A299+1</f>
        <v/>
      </c>
      <c r="B300" s="0">
        <f>TEXT(A300,"ddd")</f>
        <v/>
      </c>
      <c r="C300" s="0">
        <f>IFERROR(INDEX(lunar_ref!$B:$B,MATCH($A300,lunar_ref!$A:$A,0)),"")</f>
        <v/>
      </c>
      <c r="D300" s="0">
        <f>IFERROR(INDEX(lunar_ref!$C:$C,MATCH($A300,lunar_ref!$A:$A,0)),"")</f>
        <v/>
      </c>
      <c r="E300" s="0">
        <f>_xlfn.XLOOKUP($D300,lookup!$A:$A,lookup!$B:$B)</f>
        <v/>
      </c>
      <c r="F300" s="0">
        <f>IF($E300=1,"New",IF($E300=15,"Full",""))</f>
        <v/>
      </c>
      <c r="H300" s="0">
        <f>IF($E300="","",IF(OR($E300=8,$E300=14,$E300=15,$E300=23,$E301=1,$E302=1),"Fast day",""))</f>
        <v/>
      </c>
      <c r="I300" s="0">
        <f>IFERROR(INDEX(lookup!$E:$E,MATCH($C300,lookup!$D:$D,0)),"")</f>
        <v/>
      </c>
      <c r="J300" s="0">
        <f>IF($I300="","",IF(OR($I300=1,$I300=5,$I300=9),IF($K300="","Long fast month","Long fast month (LEAP)"),""))</f>
        <v/>
      </c>
      <c r="K300" s="0">
        <f>IFERROR(IF(INDEX(lookup!$G:$G,MATCH($C300,lookup!$D:$D,0))="LEAP","LEAP MONTH - counts as month "&amp;$I300&amp;", flagged for review",""),"")</f>
        <v/>
      </c>
    </row>
    <row r="301">
      <c r="A301" s="12">
        <f>A300+1</f>
        <v/>
      </c>
      <c r="B301" s="0">
        <f>TEXT(A301,"ddd")</f>
        <v/>
      </c>
      <c r="C301" s="0">
        <f>IFERROR(INDEX(lunar_ref!$B:$B,MATCH($A301,lunar_ref!$A:$A,0)),"")</f>
        <v/>
      </c>
      <c r="D301" s="0">
        <f>IFERROR(INDEX(lunar_ref!$C:$C,MATCH($A301,lunar_ref!$A:$A,0)),"")</f>
        <v/>
      </c>
      <c r="E301" s="0">
        <f>_xlfn.XLOOKUP($D301,lookup!$A:$A,lookup!$B:$B)</f>
        <v/>
      </c>
      <c r="F301" s="0">
        <f>IF($E301=1,"New",IF($E301=15,"Full",""))</f>
        <v/>
      </c>
      <c r="H301" s="0">
        <f>IF($E301="","",IF(OR($E301=8,$E301=14,$E301=15,$E301=23,$E302=1,$E303=1),"Fast day",""))</f>
        <v/>
      </c>
      <c r="I301" s="0">
        <f>IFERROR(INDEX(lookup!$E:$E,MATCH($C301,lookup!$D:$D,0)),"")</f>
        <v/>
      </c>
      <c r="J301" s="0">
        <f>IF($I301="","",IF(OR($I301=1,$I301=5,$I301=9),IF($K301="","Long fast month","Long fast month (LEAP)"),""))</f>
        <v/>
      </c>
      <c r="K301" s="0">
        <f>IFERROR(IF(INDEX(lookup!$G:$G,MATCH($C301,lookup!$D:$D,0))="LEAP","LEAP MONTH - counts as month "&amp;$I301&amp;", flagged for review",""),"")</f>
        <v/>
      </c>
    </row>
    <row r="302">
      <c r="A302" s="12">
        <f>A301+1</f>
        <v/>
      </c>
      <c r="B302" s="0">
        <f>TEXT(A302,"ddd")</f>
        <v/>
      </c>
      <c r="C302" s="0">
        <f>IFERROR(INDEX(lunar_ref!$B:$B,MATCH($A302,lunar_ref!$A:$A,0)),"")</f>
        <v/>
      </c>
      <c r="D302" s="0">
        <f>IFERROR(INDEX(lunar_ref!$C:$C,MATCH($A302,lunar_ref!$A:$A,0)),"")</f>
        <v/>
      </c>
      <c r="E302" s="0">
        <f>_xlfn.XLOOKUP($D302,lookup!$A:$A,lookup!$B:$B)</f>
        <v/>
      </c>
      <c r="F302" s="0">
        <f>IF($E302=1,"New",IF($E302=15,"Full",""))</f>
        <v/>
      </c>
      <c r="H302" s="0">
        <f>IF($E302="","",IF(OR($E302=8,$E302=14,$E302=15,$E302=23,$E303=1,$E304=1),"Fast day",""))</f>
        <v/>
      </c>
      <c r="I302" s="0">
        <f>IFERROR(INDEX(lookup!$E:$E,MATCH($C302,lookup!$D:$D,0)),"")</f>
        <v/>
      </c>
      <c r="J302" s="0">
        <f>IF($I302="","",IF(OR($I302=1,$I302=5,$I302=9),IF($K302="","Long fast month","Long fast month (LEAP)"),""))</f>
        <v/>
      </c>
      <c r="K302" s="0">
        <f>IFERROR(IF(INDEX(lookup!$G:$G,MATCH($C302,lookup!$D:$D,0))="LEAP","LEAP MONTH - counts as month "&amp;$I302&amp;", flagged for review",""),"")</f>
        <v/>
      </c>
    </row>
    <row r="303">
      <c r="A303" s="12">
        <f>A302+1</f>
        <v/>
      </c>
      <c r="B303" s="0">
        <f>TEXT(A303,"ddd")</f>
        <v/>
      </c>
      <c r="C303" s="0">
        <f>IFERROR(INDEX(lunar_ref!$B:$B,MATCH($A303,lunar_ref!$A:$A,0)),"")</f>
        <v/>
      </c>
      <c r="D303" s="0">
        <f>IFERROR(INDEX(lunar_ref!$C:$C,MATCH($A303,lunar_ref!$A:$A,0)),"")</f>
        <v/>
      </c>
      <c r="E303" s="0">
        <f>_xlfn.XLOOKUP($D303,lookup!$A:$A,lookup!$B:$B)</f>
        <v/>
      </c>
      <c r="F303" s="0">
        <f>IF($E303=1,"New",IF($E303=15,"Full",""))</f>
        <v/>
      </c>
      <c r="H303" s="0">
        <f>IF($E303="","",IF(OR($E303=8,$E303=14,$E303=15,$E303=23,$E304=1,$E305=1),"Fast day",""))</f>
        <v/>
      </c>
      <c r="I303" s="0">
        <f>IFERROR(INDEX(lookup!$E:$E,MATCH($C303,lookup!$D:$D,0)),"")</f>
        <v/>
      </c>
      <c r="J303" s="0">
        <f>IF($I303="","",IF(OR($I303=1,$I303=5,$I303=9),IF($K303="","Long fast month","Long fast month (LEAP)"),""))</f>
        <v/>
      </c>
      <c r="K303" s="0">
        <f>IFERROR(IF(INDEX(lookup!$G:$G,MATCH($C303,lookup!$D:$D,0))="LEAP","LEAP MONTH - counts as month "&amp;$I303&amp;", flagged for review",""),"")</f>
        <v/>
      </c>
    </row>
    <row r="304">
      <c r="A304" s="12">
        <f>A303+1</f>
        <v/>
      </c>
      <c r="B304" s="0">
        <f>TEXT(A304,"ddd")</f>
        <v/>
      </c>
      <c r="C304" s="0">
        <f>IFERROR(INDEX(lunar_ref!$B:$B,MATCH($A304,lunar_ref!$A:$A,0)),"")</f>
        <v/>
      </c>
      <c r="D304" s="0">
        <f>IFERROR(INDEX(lunar_ref!$C:$C,MATCH($A304,lunar_ref!$A:$A,0)),"")</f>
        <v/>
      </c>
      <c r="E304" s="0">
        <f>_xlfn.XLOOKUP($D304,lookup!$A:$A,lookup!$B:$B)</f>
        <v/>
      </c>
      <c r="F304" s="0">
        <f>IF($E304=1,"New",IF($E304=15,"Full",""))</f>
        <v/>
      </c>
      <c r="H304" s="0">
        <f>IF($E304="","",IF(OR($E304=8,$E304=14,$E304=15,$E304=23,$E305=1,$E306=1),"Fast day",""))</f>
        <v/>
      </c>
      <c r="I304" s="0">
        <f>IFERROR(INDEX(lookup!$E:$E,MATCH($C304,lookup!$D:$D,0)),"")</f>
        <v/>
      </c>
      <c r="J304" s="0">
        <f>IF($I304="","",IF(OR($I304=1,$I304=5,$I304=9),IF($K304="","Long fast month","Long fast month (LEAP)"),""))</f>
        <v/>
      </c>
      <c r="K304" s="0">
        <f>IFERROR(IF(INDEX(lookup!$G:$G,MATCH($C304,lookup!$D:$D,0))="LEAP","LEAP MONTH - counts as month "&amp;$I304&amp;", flagged for review",""),"")</f>
        <v/>
      </c>
    </row>
    <row r="305">
      <c r="A305" s="12">
        <f>A304+1</f>
        <v/>
      </c>
      <c r="B305" s="0">
        <f>TEXT(A305,"ddd")</f>
        <v/>
      </c>
      <c r="C305" s="0">
        <f>IFERROR(INDEX(lunar_ref!$B:$B,MATCH($A305,lunar_ref!$A:$A,0)),"")</f>
        <v/>
      </c>
      <c r="D305" s="0">
        <f>IFERROR(INDEX(lunar_ref!$C:$C,MATCH($A305,lunar_ref!$A:$A,0)),"")</f>
        <v/>
      </c>
      <c r="E305" s="0">
        <f>_xlfn.XLOOKUP($D305,lookup!$A:$A,lookup!$B:$B)</f>
        <v/>
      </c>
      <c r="F305" s="0">
        <f>IF($E305=1,"New",IF($E305=15,"Full",""))</f>
        <v/>
      </c>
      <c r="H305" s="0">
        <f>IF($E305="","",IF(OR($E305=8,$E305=14,$E305=15,$E305=23,$E306=1,$E307=1),"Fast day",""))</f>
        <v/>
      </c>
      <c r="I305" s="0">
        <f>IFERROR(INDEX(lookup!$E:$E,MATCH($C305,lookup!$D:$D,0)),"")</f>
        <v/>
      </c>
      <c r="J305" s="0">
        <f>IF($I305="","",IF(OR($I305=1,$I305=5,$I305=9),IF($K305="","Long fast month","Long fast month (LEAP)"),""))</f>
        <v/>
      </c>
      <c r="K305" s="0">
        <f>IFERROR(IF(INDEX(lookup!$G:$G,MATCH($C305,lookup!$D:$D,0))="LEAP","LEAP MONTH - counts as month "&amp;$I305&amp;", flagged for review",""),"")</f>
        <v/>
      </c>
    </row>
    <row r="306">
      <c r="A306" s="12">
        <f>A305+1</f>
        <v/>
      </c>
      <c r="B306" s="0">
        <f>TEXT(A306,"ddd")</f>
        <v/>
      </c>
      <c r="C306" s="0">
        <f>IFERROR(INDEX(lunar_ref!$B:$B,MATCH($A306,lunar_ref!$A:$A,0)),"")</f>
        <v/>
      </c>
      <c r="D306" s="0">
        <f>IFERROR(INDEX(lunar_ref!$C:$C,MATCH($A306,lunar_ref!$A:$A,0)),"")</f>
        <v/>
      </c>
      <c r="E306" s="0">
        <f>_xlfn.XLOOKUP($D306,lookup!$A:$A,lookup!$B:$B)</f>
        <v/>
      </c>
      <c r="F306" s="0">
        <f>IF($E306=1,"New",IF($E306=15,"Full",""))</f>
        <v/>
      </c>
      <c r="H306" s="0">
        <f>IF($E306="","",IF(OR($E306=8,$E306=14,$E306=15,$E306=23,$E307=1,$E308=1),"Fast day",""))</f>
        <v/>
      </c>
      <c r="I306" s="0">
        <f>IFERROR(INDEX(lookup!$E:$E,MATCH($C306,lookup!$D:$D,0)),"")</f>
        <v/>
      </c>
      <c r="J306" s="0">
        <f>IF($I306="","",IF(OR($I306=1,$I306=5,$I306=9),IF($K306="","Long fast month","Long fast month (LEAP)"),""))</f>
        <v/>
      </c>
      <c r="K306" s="0">
        <f>IFERROR(IF(INDEX(lookup!$G:$G,MATCH($C306,lookup!$D:$D,0))="LEAP","LEAP MONTH - counts as month "&amp;$I306&amp;", flagged for review",""),"")</f>
        <v/>
      </c>
    </row>
    <row r="307">
      <c r="A307" s="12">
        <f>A306+1</f>
        <v/>
      </c>
      <c r="B307" s="0">
        <f>TEXT(A307,"ddd")</f>
        <v/>
      </c>
      <c r="C307" s="0">
        <f>IFERROR(INDEX(lunar_ref!$B:$B,MATCH($A307,lunar_ref!$A:$A,0)),"")</f>
        <v/>
      </c>
      <c r="D307" s="0">
        <f>IFERROR(INDEX(lunar_ref!$C:$C,MATCH($A307,lunar_ref!$A:$A,0)),"")</f>
        <v/>
      </c>
      <c r="E307" s="0">
        <f>_xlfn.XLOOKUP($D307,lookup!$A:$A,lookup!$B:$B)</f>
        <v/>
      </c>
      <c r="F307" s="0">
        <f>IF($E307=1,"New",IF($E307=15,"Full",""))</f>
        <v/>
      </c>
      <c r="H307" s="0">
        <f>IF($E307="","",IF(OR($E307=8,$E307=14,$E307=15,$E307=23,$E308=1,$E309=1),"Fast day",""))</f>
        <v/>
      </c>
      <c r="I307" s="0">
        <f>IFERROR(INDEX(lookup!$E:$E,MATCH($C307,lookup!$D:$D,0)),"")</f>
        <v/>
      </c>
      <c r="J307" s="0">
        <f>IF($I307="","",IF(OR($I307=1,$I307=5,$I307=9),IF($K307="","Long fast month","Long fast month (LEAP)"),""))</f>
        <v/>
      </c>
      <c r="K307" s="0">
        <f>IFERROR(IF(INDEX(lookup!$G:$G,MATCH($C307,lookup!$D:$D,0))="LEAP","LEAP MONTH - counts as month "&amp;$I307&amp;", flagged for review",""),"")</f>
        <v/>
      </c>
    </row>
    <row r="308">
      <c r="A308" s="12">
        <f>A307+1</f>
        <v/>
      </c>
      <c r="B308" s="0">
        <f>TEXT(A308,"ddd")</f>
        <v/>
      </c>
      <c r="C308" s="0">
        <f>IFERROR(INDEX(lunar_ref!$B:$B,MATCH($A308,lunar_ref!$A:$A,0)),"")</f>
        <v/>
      </c>
      <c r="D308" s="0">
        <f>IFERROR(INDEX(lunar_ref!$C:$C,MATCH($A308,lunar_ref!$A:$A,0)),"")</f>
        <v/>
      </c>
      <c r="E308" s="0">
        <f>_xlfn.XLOOKUP($D308,lookup!$A:$A,lookup!$B:$B)</f>
        <v/>
      </c>
      <c r="F308" s="0">
        <f>IF($E308=1,"New",IF($E308=15,"Full",""))</f>
        <v/>
      </c>
      <c r="H308" s="0">
        <f>IF($E308="","",IF(OR($E308=8,$E308=14,$E308=15,$E308=23,$E309=1,$E310=1),"Fast day",""))</f>
        <v/>
      </c>
      <c r="I308" s="0">
        <f>IFERROR(INDEX(lookup!$E:$E,MATCH($C308,lookup!$D:$D,0)),"")</f>
        <v/>
      </c>
      <c r="J308" s="0">
        <f>IF($I308="","",IF(OR($I308=1,$I308=5,$I308=9),IF($K308="","Long fast month","Long fast month (LEAP)"),""))</f>
        <v/>
      </c>
      <c r="K308" s="0">
        <f>IFERROR(IF(INDEX(lookup!$G:$G,MATCH($C308,lookup!$D:$D,0))="LEAP","LEAP MONTH - counts as month "&amp;$I308&amp;", flagged for review",""),"")</f>
        <v/>
      </c>
    </row>
    <row r="309">
      <c r="A309" s="12">
        <f>A308+1</f>
        <v/>
      </c>
      <c r="B309" s="0">
        <f>TEXT(A309,"ddd")</f>
        <v/>
      </c>
      <c r="C309" s="0">
        <f>IFERROR(INDEX(lunar_ref!$B:$B,MATCH($A309,lunar_ref!$A:$A,0)),"")</f>
        <v/>
      </c>
      <c r="D309" s="0">
        <f>IFERROR(INDEX(lunar_ref!$C:$C,MATCH($A309,lunar_ref!$A:$A,0)),"")</f>
        <v/>
      </c>
      <c r="E309" s="0">
        <f>_xlfn.XLOOKUP($D309,lookup!$A:$A,lookup!$B:$B)</f>
        <v/>
      </c>
      <c r="F309" s="0">
        <f>IF($E309=1,"New",IF($E309=15,"Full",""))</f>
        <v/>
      </c>
      <c r="H309" s="0">
        <f>IF($E309="","",IF(OR($E309=8,$E309=14,$E309=15,$E309=23,$E310=1,$E311=1),"Fast day",""))</f>
        <v/>
      </c>
      <c r="I309" s="0">
        <f>IFERROR(INDEX(lookup!$E:$E,MATCH($C309,lookup!$D:$D,0)),"")</f>
        <v/>
      </c>
      <c r="J309" s="0">
        <f>IF($I309="","",IF(OR($I309=1,$I309=5,$I309=9),IF($K309="","Long fast month","Long fast month (LEAP)"),""))</f>
        <v/>
      </c>
      <c r="K309" s="0">
        <f>IFERROR(IF(INDEX(lookup!$G:$G,MATCH($C309,lookup!$D:$D,0))="LEAP","LEAP MONTH - counts as month "&amp;$I309&amp;", flagged for review",""),"")</f>
        <v/>
      </c>
    </row>
    <row r="310">
      <c r="A310" s="12">
        <f>A309+1</f>
        <v/>
      </c>
      <c r="B310" s="0">
        <f>TEXT(A310,"ddd")</f>
        <v/>
      </c>
      <c r="C310" s="0">
        <f>IFERROR(INDEX(lunar_ref!$B:$B,MATCH($A310,lunar_ref!$A:$A,0)),"")</f>
        <v/>
      </c>
      <c r="D310" s="0">
        <f>IFERROR(INDEX(lunar_ref!$C:$C,MATCH($A310,lunar_ref!$A:$A,0)),"")</f>
        <v/>
      </c>
      <c r="E310" s="0">
        <f>_xlfn.XLOOKUP($D310,lookup!$A:$A,lookup!$B:$B)</f>
        <v/>
      </c>
      <c r="F310" s="0">
        <f>IF($E310=1,"New",IF($E310=15,"Full",""))</f>
        <v/>
      </c>
      <c r="H310" s="0">
        <f>IF($E310="","",IF(OR($E310=8,$E310=14,$E310=15,$E310=23,$E311=1,$E312=1),"Fast day",""))</f>
        <v/>
      </c>
      <c r="I310" s="0">
        <f>IFERROR(INDEX(lookup!$E:$E,MATCH($C310,lookup!$D:$D,0)),"")</f>
        <v/>
      </c>
      <c r="J310" s="0">
        <f>IF($I310="","",IF(OR($I310=1,$I310=5,$I310=9),IF($K310="","Long fast month","Long fast month (LEAP)"),""))</f>
        <v/>
      </c>
      <c r="K310" s="0">
        <f>IFERROR(IF(INDEX(lookup!$G:$G,MATCH($C310,lookup!$D:$D,0))="LEAP","LEAP MONTH - counts as month "&amp;$I310&amp;", flagged for review",""),"")</f>
        <v/>
      </c>
    </row>
    <row r="311">
      <c r="A311" s="12">
        <f>A310+1</f>
        <v/>
      </c>
      <c r="B311" s="0">
        <f>TEXT(A311,"ddd")</f>
        <v/>
      </c>
      <c r="C311" s="0">
        <f>IFERROR(INDEX(lunar_ref!$B:$B,MATCH($A311,lunar_ref!$A:$A,0)),"")</f>
        <v/>
      </c>
      <c r="D311" s="0">
        <f>IFERROR(INDEX(lunar_ref!$C:$C,MATCH($A311,lunar_ref!$A:$A,0)),"")</f>
        <v/>
      </c>
      <c r="E311" s="0">
        <f>_xlfn.XLOOKUP($D311,lookup!$A:$A,lookup!$B:$B)</f>
        <v/>
      </c>
      <c r="F311" s="0">
        <f>IF($E311=1,"New",IF($E311=15,"Full",""))</f>
        <v/>
      </c>
      <c r="H311" s="0">
        <f>IF($E311="","",IF(OR($E311=8,$E311=14,$E311=15,$E311=23,$E312=1,$E313=1),"Fast day",""))</f>
        <v/>
      </c>
      <c r="I311" s="0">
        <f>IFERROR(INDEX(lookup!$E:$E,MATCH($C311,lookup!$D:$D,0)),"")</f>
        <v/>
      </c>
      <c r="J311" s="0">
        <f>IF($I311="","",IF(OR($I311=1,$I311=5,$I311=9),IF($K311="","Long fast month","Long fast month (LEAP)"),""))</f>
        <v/>
      </c>
      <c r="K311" s="0">
        <f>IFERROR(IF(INDEX(lookup!$G:$G,MATCH($C311,lookup!$D:$D,0))="LEAP","LEAP MONTH - counts as month "&amp;$I311&amp;", flagged for review",""),"")</f>
        <v/>
      </c>
    </row>
    <row r="312">
      <c r="A312" s="12">
        <f>A311+1</f>
        <v/>
      </c>
      <c r="B312" s="0">
        <f>TEXT(A312,"ddd")</f>
        <v/>
      </c>
      <c r="C312" s="0">
        <f>IFERROR(INDEX(lunar_ref!$B:$B,MATCH($A312,lunar_ref!$A:$A,0)),"")</f>
        <v/>
      </c>
      <c r="D312" s="0">
        <f>IFERROR(INDEX(lunar_ref!$C:$C,MATCH($A312,lunar_ref!$A:$A,0)),"")</f>
        <v/>
      </c>
      <c r="E312" s="0">
        <f>_xlfn.XLOOKUP($D312,lookup!$A:$A,lookup!$B:$B)</f>
        <v/>
      </c>
      <c r="F312" s="0">
        <f>IF($E312=1,"New",IF($E312=15,"Full",""))</f>
        <v/>
      </c>
      <c r="H312" s="0">
        <f>IF($E312="","",IF(OR($E312=8,$E312=14,$E312=15,$E312=23,$E313=1,$E314=1),"Fast day",""))</f>
        <v/>
      </c>
      <c r="I312" s="0">
        <f>IFERROR(INDEX(lookup!$E:$E,MATCH($C312,lookup!$D:$D,0)),"")</f>
        <v/>
      </c>
      <c r="J312" s="0">
        <f>IF($I312="","",IF(OR($I312=1,$I312=5,$I312=9),IF($K312="","Long fast month","Long fast month (LEAP)"),""))</f>
        <v/>
      </c>
      <c r="K312" s="0">
        <f>IFERROR(IF(INDEX(lookup!$G:$G,MATCH($C312,lookup!$D:$D,0))="LEAP","LEAP MONTH - counts as month "&amp;$I312&amp;", flagged for review",""),"")</f>
        <v/>
      </c>
    </row>
    <row r="313">
      <c r="A313" s="12">
        <f>A312+1</f>
        <v/>
      </c>
      <c r="B313" s="0">
        <f>TEXT(A313,"ddd")</f>
        <v/>
      </c>
      <c r="C313" s="0">
        <f>IFERROR(INDEX(lunar_ref!$B:$B,MATCH($A313,lunar_ref!$A:$A,0)),"")</f>
        <v/>
      </c>
      <c r="D313" s="0">
        <f>IFERROR(INDEX(lunar_ref!$C:$C,MATCH($A313,lunar_ref!$A:$A,0)),"")</f>
        <v/>
      </c>
      <c r="E313" s="0">
        <f>_xlfn.XLOOKUP($D313,lookup!$A:$A,lookup!$B:$B)</f>
        <v/>
      </c>
      <c r="F313" s="0">
        <f>IF($E313=1,"New",IF($E313=15,"Full",""))</f>
        <v/>
      </c>
      <c r="H313" s="0">
        <f>IF($E313="","",IF(OR($E313=8,$E313=14,$E313=15,$E313=23,$E314=1,$E315=1),"Fast day",""))</f>
        <v/>
      </c>
      <c r="I313" s="0">
        <f>IFERROR(INDEX(lookup!$E:$E,MATCH($C313,lookup!$D:$D,0)),"")</f>
        <v/>
      </c>
      <c r="J313" s="0">
        <f>IF($I313="","",IF(OR($I313=1,$I313=5,$I313=9),IF($K313="","Long fast month","Long fast month (LEAP)"),""))</f>
        <v/>
      </c>
      <c r="K313" s="0">
        <f>IFERROR(IF(INDEX(lookup!$G:$G,MATCH($C313,lookup!$D:$D,0))="LEAP","LEAP MONTH - counts as month "&amp;$I313&amp;", flagged for review",""),"")</f>
        <v/>
      </c>
    </row>
    <row r="314">
      <c r="A314" s="12">
        <f>A313+1</f>
        <v/>
      </c>
      <c r="B314" s="0">
        <f>TEXT(A314,"ddd")</f>
        <v/>
      </c>
      <c r="C314" s="0">
        <f>IFERROR(INDEX(lunar_ref!$B:$B,MATCH($A314,lunar_ref!$A:$A,0)),"")</f>
        <v/>
      </c>
      <c r="D314" s="0">
        <f>IFERROR(INDEX(lunar_ref!$C:$C,MATCH($A314,lunar_ref!$A:$A,0)),"")</f>
        <v/>
      </c>
      <c r="E314" s="0">
        <f>_xlfn.XLOOKUP($D314,lookup!$A:$A,lookup!$B:$B)</f>
        <v/>
      </c>
      <c r="F314" s="0">
        <f>IF($E314=1,"New",IF($E314=15,"Full",""))</f>
        <v/>
      </c>
      <c r="H314" s="0">
        <f>IF($E314="","",IF(OR($E314=8,$E314=14,$E314=15,$E314=23,$E315=1,$E316=1),"Fast day",""))</f>
        <v/>
      </c>
      <c r="I314" s="0">
        <f>IFERROR(INDEX(lookup!$E:$E,MATCH($C314,lookup!$D:$D,0)),"")</f>
        <v/>
      </c>
      <c r="J314" s="0">
        <f>IF($I314="","",IF(OR($I314=1,$I314=5,$I314=9),IF($K314="","Long fast month","Long fast month (LEAP)"),""))</f>
        <v/>
      </c>
      <c r="K314" s="0">
        <f>IFERROR(IF(INDEX(lookup!$G:$G,MATCH($C314,lookup!$D:$D,0))="LEAP","LEAP MONTH - counts as month "&amp;$I314&amp;", flagged for review",""),"")</f>
        <v/>
      </c>
    </row>
    <row r="315">
      <c r="A315" s="12">
        <f>A314+1</f>
        <v/>
      </c>
      <c r="B315" s="0">
        <f>TEXT(A315,"ddd")</f>
        <v/>
      </c>
      <c r="C315" s="0">
        <f>IFERROR(INDEX(lunar_ref!$B:$B,MATCH($A315,lunar_ref!$A:$A,0)),"")</f>
        <v/>
      </c>
      <c r="D315" s="0">
        <f>IFERROR(INDEX(lunar_ref!$C:$C,MATCH($A315,lunar_ref!$A:$A,0)),"")</f>
        <v/>
      </c>
      <c r="E315" s="0">
        <f>_xlfn.XLOOKUP($D315,lookup!$A:$A,lookup!$B:$B)</f>
        <v/>
      </c>
      <c r="F315" s="0">
        <f>IF($E315=1,"New",IF($E315=15,"Full",""))</f>
        <v/>
      </c>
      <c r="H315" s="0">
        <f>IF($E315="","",IF(OR($E315=8,$E315=14,$E315=15,$E315=23,$E316=1,$E317=1),"Fast day",""))</f>
        <v/>
      </c>
      <c r="I315" s="0">
        <f>IFERROR(INDEX(lookup!$E:$E,MATCH($C315,lookup!$D:$D,0)),"")</f>
        <v/>
      </c>
      <c r="J315" s="0">
        <f>IF($I315="","",IF(OR($I315=1,$I315=5,$I315=9),IF($K315="","Long fast month","Long fast month (LEAP)"),""))</f>
        <v/>
      </c>
      <c r="K315" s="0">
        <f>IFERROR(IF(INDEX(lookup!$G:$G,MATCH($C315,lookup!$D:$D,0))="LEAP","LEAP MONTH - counts as month "&amp;$I315&amp;", flagged for review",""),"")</f>
        <v/>
      </c>
    </row>
    <row r="316">
      <c r="A316" s="12">
        <f>A315+1</f>
        <v/>
      </c>
      <c r="B316" s="0">
        <f>TEXT(A316,"ddd")</f>
        <v/>
      </c>
      <c r="C316" s="0">
        <f>IFERROR(INDEX(lunar_ref!$B:$B,MATCH($A316,lunar_ref!$A:$A,0)),"")</f>
        <v/>
      </c>
      <c r="D316" s="0">
        <f>IFERROR(INDEX(lunar_ref!$C:$C,MATCH($A316,lunar_ref!$A:$A,0)),"")</f>
        <v/>
      </c>
      <c r="E316" s="0">
        <f>_xlfn.XLOOKUP($D316,lookup!$A:$A,lookup!$B:$B)</f>
        <v/>
      </c>
      <c r="F316" s="0">
        <f>IF($E316=1,"New",IF($E316=15,"Full",""))</f>
        <v/>
      </c>
      <c r="H316" s="0">
        <f>IF($E316="","",IF(OR($E316=8,$E316=14,$E316=15,$E316=23,$E317=1,$E318=1),"Fast day",""))</f>
        <v/>
      </c>
      <c r="I316" s="0">
        <f>IFERROR(INDEX(lookup!$E:$E,MATCH($C316,lookup!$D:$D,0)),"")</f>
        <v/>
      </c>
      <c r="J316" s="0">
        <f>IF($I316="","",IF(OR($I316=1,$I316=5,$I316=9),IF($K316="","Long fast month","Long fast month (LEAP)"),""))</f>
        <v/>
      </c>
      <c r="K316" s="0">
        <f>IFERROR(IF(INDEX(lookup!$G:$G,MATCH($C316,lookup!$D:$D,0))="LEAP","LEAP MONTH - counts as month "&amp;$I316&amp;", flagged for review",""),"")</f>
        <v/>
      </c>
    </row>
    <row r="317">
      <c r="A317" s="12">
        <f>A316+1</f>
        <v/>
      </c>
      <c r="B317" s="0">
        <f>TEXT(A317,"ddd")</f>
        <v/>
      </c>
      <c r="C317" s="0">
        <f>IFERROR(INDEX(lunar_ref!$B:$B,MATCH($A317,lunar_ref!$A:$A,0)),"")</f>
        <v/>
      </c>
      <c r="D317" s="0">
        <f>IFERROR(INDEX(lunar_ref!$C:$C,MATCH($A317,lunar_ref!$A:$A,0)),"")</f>
        <v/>
      </c>
      <c r="E317" s="0">
        <f>_xlfn.XLOOKUP($D317,lookup!$A:$A,lookup!$B:$B)</f>
        <v/>
      </c>
      <c r="F317" s="0">
        <f>IF($E317=1,"New",IF($E317=15,"Full",""))</f>
        <v/>
      </c>
      <c r="H317" s="0">
        <f>IF($E317="","",IF(OR($E317=8,$E317=14,$E317=15,$E317=23,$E318=1,$E319=1),"Fast day",""))</f>
        <v/>
      </c>
      <c r="I317" s="0">
        <f>IFERROR(INDEX(lookup!$E:$E,MATCH($C317,lookup!$D:$D,0)),"")</f>
        <v/>
      </c>
      <c r="J317" s="0">
        <f>IF($I317="","",IF(OR($I317=1,$I317=5,$I317=9),IF($K317="","Long fast month","Long fast month (LEAP)"),""))</f>
        <v/>
      </c>
      <c r="K317" s="0">
        <f>IFERROR(IF(INDEX(lookup!$G:$G,MATCH($C317,lookup!$D:$D,0))="LEAP","LEAP MONTH - counts as month "&amp;$I317&amp;", flagged for review",""),"")</f>
        <v/>
      </c>
    </row>
    <row r="318">
      <c r="A318" s="12">
        <f>A317+1</f>
        <v/>
      </c>
      <c r="B318" s="0">
        <f>TEXT(A318,"ddd")</f>
        <v/>
      </c>
      <c r="C318" s="0">
        <f>IFERROR(INDEX(lunar_ref!$B:$B,MATCH($A318,lunar_ref!$A:$A,0)),"")</f>
        <v/>
      </c>
      <c r="D318" s="0">
        <f>IFERROR(INDEX(lunar_ref!$C:$C,MATCH($A318,lunar_ref!$A:$A,0)),"")</f>
        <v/>
      </c>
      <c r="E318" s="0">
        <f>_xlfn.XLOOKUP($D318,lookup!$A:$A,lookup!$B:$B)</f>
        <v/>
      </c>
      <c r="F318" s="0">
        <f>IF($E318=1,"New",IF($E318=15,"Full",""))</f>
        <v/>
      </c>
      <c r="H318" s="0">
        <f>IF($E318="","",IF(OR($E318=8,$E318=14,$E318=15,$E318=23,$E319=1,$E320=1),"Fast day",""))</f>
        <v/>
      </c>
      <c r="I318" s="0">
        <f>IFERROR(INDEX(lookup!$E:$E,MATCH($C318,lookup!$D:$D,0)),"")</f>
        <v/>
      </c>
      <c r="J318" s="0">
        <f>IF($I318="","",IF(OR($I318=1,$I318=5,$I318=9),IF($K318="","Long fast month","Long fast month (LEAP)"),""))</f>
        <v/>
      </c>
      <c r="K318" s="0">
        <f>IFERROR(IF(INDEX(lookup!$G:$G,MATCH($C318,lookup!$D:$D,0))="LEAP","LEAP MONTH - counts as month "&amp;$I318&amp;", flagged for review",""),"")</f>
        <v/>
      </c>
    </row>
    <row r="319">
      <c r="A319" s="12">
        <f>A318+1</f>
        <v/>
      </c>
      <c r="B319" s="0">
        <f>TEXT(A319,"ddd")</f>
        <v/>
      </c>
      <c r="C319" s="0">
        <f>IFERROR(INDEX(lunar_ref!$B:$B,MATCH($A319,lunar_ref!$A:$A,0)),"")</f>
        <v/>
      </c>
      <c r="D319" s="0">
        <f>IFERROR(INDEX(lunar_ref!$C:$C,MATCH($A319,lunar_ref!$A:$A,0)),"")</f>
        <v/>
      </c>
      <c r="E319" s="0">
        <f>_xlfn.XLOOKUP($D319,lookup!$A:$A,lookup!$B:$B)</f>
        <v/>
      </c>
      <c r="F319" s="0">
        <f>IF($E319=1,"New",IF($E319=15,"Full",""))</f>
        <v/>
      </c>
      <c r="H319" s="0">
        <f>IF($E319="","",IF(OR($E319=8,$E319=14,$E319=15,$E319=23,$E320=1,$E321=1),"Fast day",""))</f>
        <v/>
      </c>
      <c r="I319" s="0">
        <f>IFERROR(INDEX(lookup!$E:$E,MATCH($C319,lookup!$D:$D,0)),"")</f>
        <v/>
      </c>
      <c r="J319" s="0">
        <f>IF($I319="","",IF(OR($I319=1,$I319=5,$I319=9),IF($K319="","Long fast month","Long fast month (LEAP)"),""))</f>
        <v/>
      </c>
      <c r="K319" s="0">
        <f>IFERROR(IF(INDEX(lookup!$G:$G,MATCH($C319,lookup!$D:$D,0))="LEAP","LEAP MONTH - counts as month "&amp;$I319&amp;", flagged for review",""),"")</f>
        <v/>
      </c>
    </row>
    <row r="320">
      <c r="A320" s="12">
        <f>A319+1</f>
        <v/>
      </c>
      <c r="B320" s="0">
        <f>TEXT(A320,"ddd")</f>
        <v/>
      </c>
      <c r="C320" s="0">
        <f>IFERROR(INDEX(lunar_ref!$B:$B,MATCH($A320,lunar_ref!$A:$A,0)),"")</f>
        <v/>
      </c>
      <c r="D320" s="0">
        <f>IFERROR(INDEX(lunar_ref!$C:$C,MATCH($A320,lunar_ref!$A:$A,0)),"")</f>
        <v/>
      </c>
      <c r="E320" s="0">
        <f>_xlfn.XLOOKUP($D320,lookup!$A:$A,lookup!$B:$B)</f>
        <v/>
      </c>
      <c r="F320" s="0">
        <f>IF($E320=1,"New",IF($E320=15,"Full",""))</f>
        <v/>
      </c>
      <c r="H320" s="0">
        <f>IF($E320="","",IF(OR($E320=8,$E320=14,$E320=15,$E320=23,$E321=1,$E322=1),"Fast day",""))</f>
        <v/>
      </c>
      <c r="I320" s="0">
        <f>IFERROR(INDEX(lookup!$E:$E,MATCH($C320,lookup!$D:$D,0)),"")</f>
        <v/>
      </c>
      <c r="J320" s="0">
        <f>IF($I320="","",IF(OR($I320=1,$I320=5,$I320=9),IF($K320="","Long fast month","Long fast month (LEAP)"),""))</f>
        <v/>
      </c>
      <c r="K320" s="0">
        <f>IFERROR(IF(INDEX(lookup!$G:$G,MATCH($C320,lookup!$D:$D,0))="LEAP","LEAP MONTH - counts as month "&amp;$I320&amp;", flagged for review",""),"")</f>
        <v/>
      </c>
    </row>
    <row r="321">
      <c r="A321" s="12">
        <f>A320+1</f>
        <v/>
      </c>
      <c r="B321" s="0">
        <f>TEXT(A321,"ddd")</f>
        <v/>
      </c>
      <c r="C321" s="0">
        <f>IFERROR(INDEX(lunar_ref!$B:$B,MATCH($A321,lunar_ref!$A:$A,0)),"")</f>
        <v/>
      </c>
      <c r="D321" s="0">
        <f>IFERROR(INDEX(lunar_ref!$C:$C,MATCH($A321,lunar_ref!$A:$A,0)),"")</f>
        <v/>
      </c>
      <c r="E321" s="0">
        <f>_xlfn.XLOOKUP($D321,lookup!$A:$A,lookup!$B:$B)</f>
        <v/>
      </c>
      <c r="F321" s="0">
        <f>IF($E321=1,"New",IF($E321=15,"Full",""))</f>
        <v/>
      </c>
      <c r="H321" s="0">
        <f>IF($E321="","",IF(OR($E321=8,$E321=14,$E321=15,$E321=23,$E322=1,$E323=1),"Fast day",""))</f>
        <v/>
      </c>
      <c r="I321" s="0">
        <f>IFERROR(INDEX(lookup!$E:$E,MATCH($C321,lookup!$D:$D,0)),"")</f>
        <v/>
      </c>
      <c r="J321" s="0">
        <f>IF($I321="","",IF(OR($I321=1,$I321=5,$I321=9),IF($K321="","Long fast month","Long fast month (LEAP)"),""))</f>
        <v/>
      </c>
      <c r="K321" s="0">
        <f>IFERROR(IF(INDEX(lookup!$G:$G,MATCH($C321,lookup!$D:$D,0))="LEAP","LEAP MONTH - counts as month "&amp;$I321&amp;", flagged for review",""),"")</f>
        <v/>
      </c>
    </row>
    <row r="322">
      <c r="A322" s="12">
        <f>A321+1</f>
        <v/>
      </c>
      <c r="B322" s="0">
        <f>TEXT(A322,"ddd")</f>
        <v/>
      </c>
      <c r="C322" s="0">
        <f>IFERROR(INDEX(lunar_ref!$B:$B,MATCH($A322,lunar_ref!$A:$A,0)),"")</f>
        <v/>
      </c>
      <c r="D322" s="0">
        <f>IFERROR(INDEX(lunar_ref!$C:$C,MATCH($A322,lunar_ref!$A:$A,0)),"")</f>
        <v/>
      </c>
      <c r="E322" s="0">
        <f>_xlfn.XLOOKUP($D322,lookup!$A:$A,lookup!$B:$B)</f>
        <v/>
      </c>
      <c r="F322" s="0">
        <f>IF($E322=1,"New",IF($E322=15,"Full",""))</f>
        <v/>
      </c>
      <c r="H322" s="0">
        <f>IF($E322="","",IF(OR($E322=8,$E322=14,$E322=15,$E322=23,$E323=1,$E324=1),"Fast day",""))</f>
        <v/>
      </c>
      <c r="I322" s="0">
        <f>IFERROR(INDEX(lookup!$E:$E,MATCH($C322,lookup!$D:$D,0)),"")</f>
        <v/>
      </c>
      <c r="J322" s="0">
        <f>IF($I322="","",IF(OR($I322=1,$I322=5,$I322=9),IF($K322="","Long fast month","Long fast month (LEAP)"),""))</f>
        <v/>
      </c>
      <c r="K322" s="0">
        <f>IFERROR(IF(INDEX(lookup!$G:$G,MATCH($C322,lookup!$D:$D,0))="LEAP","LEAP MONTH - counts as month "&amp;$I322&amp;", flagged for review",""),"")</f>
        <v/>
      </c>
    </row>
    <row r="323">
      <c r="A323" s="12">
        <f>A322+1</f>
        <v/>
      </c>
      <c r="B323" s="0">
        <f>TEXT(A323,"ddd")</f>
        <v/>
      </c>
      <c r="C323" s="0">
        <f>IFERROR(INDEX(lunar_ref!$B:$B,MATCH($A323,lunar_ref!$A:$A,0)),"")</f>
        <v/>
      </c>
      <c r="D323" s="0">
        <f>IFERROR(INDEX(lunar_ref!$C:$C,MATCH($A323,lunar_ref!$A:$A,0)),"")</f>
        <v/>
      </c>
      <c r="E323" s="0">
        <f>_xlfn.XLOOKUP($D323,lookup!$A:$A,lookup!$B:$B)</f>
        <v/>
      </c>
      <c r="F323" s="0">
        <f>IF($E323=1,"New",IF($E323=15,"Full",""))</f>
        <v/>
      </c>
      <c r="H323" s="0">
        <f>IF($E323="","",IF(OR($E323=8,$E323=14,$E323=15,$E323=23,$E324=1,$E325=1),"Fast day",""))</f>
        <v/>
      </c>
      <c r="I323" s="0">
        <f>IFERROR(INDEX(lookup!$E:$E,MATCH($C323,lookup!$D:$D,0)),"")</f>
        <v/>
      </c>
      <c r="J323" s="0">
        <f>IF($I323="","",IF(OR($I323=1,$I323=5,$I323=9),IF($K323="","Long fast month","Long fast month (LEAP)"),""))</f>
        <v/>
      </c>
      <c r="K323" s="0">
        <f>IFERROR(IF(INDEX(lookup!$G:$G,MATCH($C323,lookup!$D:$D,0))="LEAP","LEAP MONTH - counts as month "&amp;$I323&amp;", flagged for review",""),"")</f>
        <v/>
      </c>
    </row>
    <row r="324">
      <c r="A324" s="12">
        <f>A323+1</f>
        <v/>
      </c>
      <c r="B324" s="0">
        <f>TEXT(A324,"ddd")</f>
        <v/>
      </c>
      <c r="C324" s="0">
        <f>IFERROR(INDEX(lunar_ref!$B:$B,MATCH($A324,lunar_ref!$A:$A,0)),"")</f>
        <v/>
      </c>
      <c r="D324" s="0">
        <f>IFERROR(INDEX(lunar_ref!$C:$C,MATCH($A324,lunar_ref!$A:$A,0)),"")</f>
        <v/>
      </c>
      <c r="E324" s="0">
        <f>_xlfn.XLOOKUP($D324,lookup!$A:$A,lookup!$B:$B)</f>
        <v/>
      </c>
      <c r="F324" s="0">
        <f>IF($E324=1,"New",IF($E324=15,"Full",""))</f>
        <v/>
      </c>
      <c r="H324" s="0">
        <f>IF($E324="","",IF(OR($E324=8,$E324=14,$E324=15,$E324=23,$E325=1,$E326=1),"Fast day",""))</f>
        <v/>
      </c>
      <c r="I324" s="0">
        <f>IFERROR(INDEX(lookup!$E:$E,MATCH($C324,lookup!$D:$D,0)),"")</f>
        <v/>
      </c>
      <c r="J324" s="0">
        <f>IF($I324="","",IF(OR($I324=1,$I324=5,$I324=9),IF($K324="","Long fast month","Long fast month (LEAP)"),""))</f>
        <v/>
      </c>
      <c r="K324" s="0">
        <f>IFERROR(IF(INDEX(lookup!$G:$G,MATCH($C324,lookup!$D:$D,0))="LEAP","LEAP MONTH - counts as month "&amp;$I324&amp;", flagged for review",""),"")</f>
        <v/>
      </c>
    </row>
    <row r="325">
      <c r="A325" s="12">
        <f>A324+1</f>
        <v/>
      </c>
      <c r="B325" s="0">
        <f>TEXT(A325,"ddd")</f>
        <v/>
      </c>
      <c r="C325" s="0">
        <f>IFERROR(INDEX(lunar_ref!$B:$B,MATCH($A325,lunar_ref!$A:$A,0)),"")</f>
        <v/>
      </c>
      <c r="D325" s="0">
        <f>IFERROR(INDEX(lunar_ref!$C:$C,MATCH($A325,lunar_ref!$A:$A,0)),"")</f>
        <v/>
      </c>
      <c r="E325" s="0">
        <f>_xlfn.XLOOKUP($D325,lookup!$A:$A,lookup!$B:$B)</f>
        <v/>
      </c>
      <c r="F325" s="0">
        <f>IF($E325=1,"New",IF($E325=15,"Full",""))</f>
        <v/>
      </c>
      <c r="H325" s="0">
        <f>IF($E325="","",IF(OR($E325=8,$E325=14,$E325=15,$E325=23,$E326=1,$E327=1),"Fast day",""))</f>
        <v/>
      </c>
      <c r="I325" s="0">
        <f>IFERROR(INDEX(lookup!$E:$E,MATCH($C325,lookup!$D:$D,0)),"")</f>
        <v/>
      </c>
      <c r="J325" s="0">
        <f>IF($I325="","",IF(OR($I325=1,$I325=5,$I325=9),IF($K325="","Long fast month","Long fast month (LEAP)"),""))</f>
        <v/>
      </c>
      <c r="K325" s="0">
        <f>IFERROR(IF(INDEX(lookup!$G:$G,MATCH($C325,lookup!$D:$D,0))="LEAP","LEAP MONTH - counts as month "&amp;$I325&amp;", flagged for review",""),"")</f>
        <v/>
      </c>
    </row>
    <row r="326">
      <c r="A326" s="12">
        <f>A325+1</f>
        <v/>
      </c>
      <c r="B326" s="0">
        <f>TEXT(A326,"ddd")</f>
        <v/>
      </c>
      <c r="C326" s="0">
        <f>IFERROR(INDEX(lunar_ref!$B:$B,MATCH($A326,lunar_ref!$A:$A,0)),"")</f>
        <v/>
      </c>
      <c r="D326" s="0">
        <f>IFERROR(INDEX(lunar_ref!$C:$C,MATCH($A326,lunar_ref!$A:$A,0)),"")</f>
        <v/>
      </c>
      <c r="E326" s="0">
        <f>_xlfn.XLOOKUP($D326,lookup!$A:$A,lookup!$B:$B)</f>
        <v/>
      </c>
      <c r="F326" s="0">
        <f>IF($E326=1,"New",IF($E326=15,"Full",""))</f>
        <v/>
      </c>
      <c r="H326" s="0">
        <f>IF($E326="","",IF(OR($E326=8,$E326=14,$E326=15,$E326=23,$E327=1,$E328=1),"Fast day",""))</f>
        <v/>
      </c>
      <c r="I326" s="0">
        <f>IFERROR(INDEX(lookup!$E:$E,MATCH($C326,lookup!$D:$D,0)),"")</f>
        <v/>
      </c>
      <c r="J326" s="0">
        <f>IF($I326="","",IF(OR($I326=1,$I326=5,$I326=9),IF($K326="","Long fast month","Long fast month (LEAP)"),""))</f>
        <v/>
      </c>
      <c r="K326" s="0">
        <f>IFERROR(IF(INDEX(lookup!$G:$G,MATCH($C326,lookup!$D:$D,0))="LEAP","LEAP MONTH - counts as month "&amp;$I326&amp;", flagged for review",""),"")</f>
        <v/>
      </c>
    </row>
    <row r="327">
      <c r="A327" s="12">
        <f>A326+1</f>
        <v/>
      </c>
      <c r="B327" s="0">
        <f>TEXT(A327,"ddd")</f>
        <v/>
      </c>
      <c r="C327" s="0">
        <f>IFERROR(INDEX(lunar_ref!$B:$B,MATCH($A327,lunar_ref!$A:$A,0)),"")</f>
        <v/>
      </c>
      <c r="D327" s="0">
        <f>IFERROR(INDEX(lunar_ref!$C:$C,MATCH($A327,lunar_ref!$A:$A,0)),"")</f>
        <v/>
      </c>
      <c r="E327" s="0">
        <f>_xlfn.XLOOKUP($D327,lookup!$A:$A,lookup!$B:$B)</f>
        <v/>
      </c>
      <c r="F327" s="0">
        <f>IF($E327=1,"New",IF($E327=15,"Full",""))</f>
        <v/>
      </c>
      <c r="H327" s="0">
        <f>IF($E327="","",IF(OR($E327=8,$E327=14,$E327=15,$E327=23,$E328=1,$E329=1),"Fast day",""))</f>
        <v/>
      </c>
      <c r="I327" s="0">
        <f>IFERROR(INDEX(lookup!$E:$E,MATCH($C327,lookup!$D:$D,0)),"")</f>
        <v/>
      </c>
      <c r="J327" s="0">
        <f>IF($I327="","",IF(OR($I327=1,$I327=5,$I327=9),IF($K327="","Long fast month","Long fast month (LEAP)"),""))</f>
        <v/>
      </c>
      <c r="K327" s="0">
        <f>IFERROR(IF(INDEX(lookup!$G:$G,MATCH($C327,lookup!$D:$D,0))="LEAP","LEAP MONTH - counts as month "&amp;$I327&amp;", flagged for review",""),"")</f>
        <v/>
      </c>
    </row>
    <row r="328">
      <c r="A328" s="12">
        <f>A327+1</f>
        <v/>
      </c>
      <c r="B328" s="0">
        <f>TEXT(A328,"ddd")</f>
        <v/>
      </c>
      <c r="C328" s="0">
        <f>IFERROR(INDEX(lunar_ref!$B:$B,MATCH($A328,lunar_ref!$A:$A,0)),"")</f>
        <v/>
      </c>
      <c r="D328" s="0">
        <f>IFERROR(INDEX(lunar_ref!$C:$C,MATCH($A328,lunar_ref!$A:$A,0)),"")</f>
        <v/>
      </c>
      <c r="E328" s="0">
        <f>_xlfn.XLOOKUP($D328,lookup!$A:$A,lookup!$B:$B)</f>
        <v/>
      </c>
      <c r="F328" s="0">
        <f>IF($E328=1,"New",IF($E328=15,"Full",""))</f>
        <v/>
      </c>
      <c r="H328" s="0">
        <f>IF($E328="","",IF(OR($E328=8,$E328=14,$E328=15,$E328=23,$E329=1,$E330=1),"Fast day",""))</f>
        <v/>
      </c>
      <c r="I328" s="0">
        <f>IFERROR(INDEX(lookup!$E:$E,MATCH($C328,lookup!$D:$D,0)),"")</f>
        <v/>
      </c>
      <c r="J328" s="0">
        <f>IF($I328="","",IF(OR($I328=1,$I328=5,$I328=9),IF($K328="","Long fast month","Long fast month (LEAP)"),""))</f>
        <v/>
      </c>
      <c r="K328" s="0">
        <f>IFERROR(IF(INDEX(lookup!$G:$G,MATCH($C328,lookup!$D:$D,0))="LEAP","LEAP MONTH - counts as month "&amp;$I328&amp;", flagged for review",""),"")</f>
        <v/>
      </c>
    </row>
    <row r="329">
      <c r="A329" s="12">
        <f>A328+1</f>
        <v/>
      </c>
      <c r="B329" s="0">
        <f>TEXT(A329,"ddd")</f>
        <v/>
      </c>
      <c r="C329" s="0">
        <f>IFERROR(INDEX(lunar_ref!$B:$B,MATCH($A329,lunar_ref!$A:$A,0)),"")</f>
        <v/>
      </c>
      <c r="D329" s="0">
        <f>IFERROR(INDEX(lunar_ref!$C:$C,MATCH($A329,lunar_ref!$A:$A,0)),"")</f>
        <v/>
      </c>
      <c r="E329" s="0">
        <f>_xlfn.XLOOKUP($D329,lookup!$A:$A,lookup!$B:$B)</f>
        <v/>
      </c>
      <c r="F329" s="0">
        <f>IF($E329=1,"New",IF($E329=15,"Full",""))</f>
        <v/>
      </c>
      <c r="H329" s="0">
        <f>IF($E329="","",IF(OR($E329=8,$E329=14,$E329=15,$E329=23,$E330=1,$E331=1),"Fast day",""))</f>
        <v/>
      </c>
      <c r="I329" s="0">
        <f>IFERROR(INDEX(lookup!$E:$E,MATCH($C329,lookup!$D:$D,0)),"")</f>
        <v/>
      </c>
      <c r="J329" s="0">
        <f>IF($I329="","",IF(OR($I329=1,$I329=5,$I329=9),IF($K329="","Long fast month","Long fast month (LEAP)"),""))</f>
        <v/>
      </c>
      <c r="K329" s="0">
        <f>IFERROR(IF(INDEX(lookup!$G:$G,MATCH($C329,lookup!$D:$D,0))="LEAP","LEAP MONTH - counts as month "&amp;$I329&amp;", flagged for review",""),"")</f>
        <v/>
      </c>
    </row>
    <row r="330">
      <c r="A330" s="12">
        <f>A329+1</f>
        <v/>
      </c>
      <c r="B330" s="0">
        <f>TEXT(A330,"ddd")</f>
        <v/>
      </c>
      <c r="C330" s="0">
        <f>IFERROR(INDEX(lunar_ref!$B:$B,MATCH($A330,lunar_ref!$A:$A,0)),"")</f>
        <v/>
      </c>
      <c r="D330" s="0">
        <f>IFERROR(INDEX(lunar_ref!$C:$C,MATCH($A330,lunar_ref!$A:$A,0)),"")</f>
        <v/>
      </c>
      <c r="E330" s="0">
        <f>_xlfn.XLOOKUP($D330,lookup!$A:$A,lookup!$B:$B)</f>
        <v/>
      </c>
      <c r="F330" s="0">
        <f>IF($E330=1,"New",IF($E330=15,"Full",""))</f>
        <v/>
      </c>
      <c r="H330" s="0">
        <f>IF($E330="","",IF(OR($E330=8,$E330=14,$E330=15,$E330=23,$E331=1,$E332=1),"Fast day",""))</f>
        <v/>
      </c>
      <c r="I330" s="0">
        <f>IFERROR(INDEX(lookup!$E:$E,MATCH($C330,lookup!$D:$D,0)),"")</f>
        <v/>
      </c>
      <c r="J330" s="0">
        <f>IF($I330="","",IF(OR($I330=1,$I330=5,$I330=9),IF($K330="","Long fast month","Long fast month (LEAP)"),""))</f>
        <v/>
      </c>
      <c r="K330" s="0">
        <f>IFERROR(IF(INDEX(lookup!$G:$G,MATCH($C330,lookup!$D:$D,0))="LEAP","LEAP MONTH - counts as month "&amp;$I330&amp;", flagged for review",""),"")</f>
        <v/>
      </c>
    </row>
    <row r="331">
      <c r="A331" s="12">
        <f>A330+1</f>
        <v/>
      </c>
      <c r="B331" s="0">
        <f>TEXT(A331,"ddd")</f>
        <v/>
      </c>
      <c r="C331" s="0">
        <f>IFERROR(INDEX(lunar_ref!$B:$B,MATCH($A331,lunar_ref!$A:$A,0)),"")</f>
        <v/>
      </c>
      <c r="D331" s="0">
        <f>IFERROR(INDEX(lunar_ref!$C:$C,MATCH($A331,lunar_ref!$A:$A,0)),"")</f>
        <v/>
      </c>
      <c r="E331" s="0">
        <f>_xlfn.XLOOKUP($D331,lookup!$A:$A,lookup!$B:$B)</f>
        <v/>
      </c>
      <c r="F331" s="0">
        <f>IF($E331=1,"New",IF($E331=15,"Full",""))</f>
        <v/>
      </c>
      <c r="H331" s="0">
        <f>IF($E331="","",IF(OR($E331=8,$E331=14,$E331=15,$E331=23,$E332=1,$E333=1),"Fast day",""))</f>
        <v/>
      </c>
      <c r="I331" s="0">
        <f>IFERROR(INDEX(lookup!$E:$E,MATCH($C331,lookup!$D:$D,0)),"")</f>
        <v/>
      </c>
      <c r="J331" s="0">
        <f>IF($I331="","",IF(OR($I331=1,$I331=5,$I331=9),IF($K331="","Long fast month","Long fast month (LEAP)"),""))</f>
        <v/>
      </c>
      <c r="K331" s="0">
        <f>IFERROR(IF(INDEX(lookup!$G:$G,MATCH($C331,lookup!$D:$D,0))="LEAP","LEAP MONTH - counts as month "&amp;$I331&amp;", flagged for review",""),"")</f>
        <v/>
      </c>
    </row>
    <row r="332">
      <c r="A332" s="12">
        <f>A331+1</f>
        <v/>
      </c>
      <c r="B332" s="0">
        <f>TEXT(A332,"ddd")</f>
        <v/>
      </c>
      <c r="C332" s="0">
        <f>IFERROR(INDEX(lunar_ref!$B:$B,MATCH($A332,lunar_ref!$A:$A,0)),"")</f>
        <v/>
      </c>
      <c r="D332" s="0">
        <f>IFERROR(INDEX(lunar_ref!$C:$C,MATCH($A332,lunar_ref!$A:$A,0)),"")</f>
        <v/>
      </c>
      <c r="E332" s="0">
        <f>_xlfn.XLOOKUP($D332,lookup!$A:$A,lookup!$B:$B)</f>
        <v/>
      </c>
      <c r="F332" s="0">
        <f>IF($E332=1,"New",IF($E332=15,"Full",""))</f>
        <v/>
      </c>
      <c r="H332" s="0">
        <f>IF($E332="","",IF(OR($E332=8,$E332=14,$E332=15,$E332=23,$E333=1,$E334=1),"Fast day",""))</f>
        <v/>
      </c>
      <c r="I332" s="0">
        <f>IFERROR(INDEX(lookup!$E:$E,MATCH($C332,lookup!$D:$D,0)),"")</f>
        <v/>
      </c>
      <c r="J332" s="0">
        <f>IF($I332="","",IF(OR($I332=1,$I332=5,$I332=9),IF($K332="","Long fast month","Long fast month (LEAP)"),""))</f>
        <v/>
      </c>
      <c r="K332" s="0">
        <f>IFERROR(IF(INDEX(lookup!$G:$G,MATCH($C332,lookup!$D:$D,0))="LEAP","LEAP MONTH - counts as month "&amp;$I332&amp;", flagged for review",""),"")</f>
        <v/>
      </c>
    </row>
    <row r="333">
      <c r="A333" s="12">
        <f>A332+1</f>
        <v/>
      </c>
      <c r="B333" s="0">
        <f>TEXT(A333,"ddd")</f>
        <v/>
      </c>
      <c r="C333" s="0">
        <f>IFERROR(INDEX(lunar_ref!$B:$B,MATCH($A333,lunar_ref!$A:$A,0)),"")</f>
        <v/>
      </c>
      <c r="D333" s="0">
        <f>IFERROR(INDEX(lunar_ref!$C:$C,MATCH($A333,lunar_ref!$A:$A,0)),"")</f>
        <v/>
      </c>
      <c r="E333" s="0">
        <f>_xlfn.XLOOKUP($D333,lookup!$A:$A,lookup!$B:$B)</f>
        <v/>
      </c>
      <c r="F333" s="0">
        <f>IF($E333=1,"New",IF($E333=15,"Full",""))</f>
        <v/>
      </c>
      <c r="H333" s="0">
        <f>IF($E333="","",IF(OR($E333=8,$E333=14,$E333=15,$E333=23,$E334=1,$E335=1),"Fast day",""))</f>
        <v/>
      </c>
      <c r="I333" s="0">
        <f>IFERROR(INDEX(lookup!$E:$E,MATCH($C333,lookup!$D:$D,0)),"")</f>
        <v/>
      </c>
      <c r="J333" s="0">
        <f>IF($I333="","",IF(OR($I333=1,$I333=5,$I333=9),IF($K333="","Long fast month","Long fast month (LEAP)"),""))</f>
        <v/>
      </c>
      <c r="K333" s="0">
        <f>IFERROR(IF(INDEX(lookup!$G:$G,MATCH($C333,lookup!$D:$D,0))="LEAP","LEAP MONTH - counts as month "&amp;$I333&amp;", flagged for review",""),"")</f>
        <v/>
      </c>
    </row>
    <row r="334">
      <c r="A334" s="12">
        <f>A333+1</f>
        <v/>
      </c>
      <c r="B334" s="0">
        <f>TEXT(A334,"ddd")</f>
        <v/>
      </c>
      <c r="C334" s="0">
        <f>IFERROR(INDEX(lunar_ref!$B:$B,MATCH($A334,lunar_ref!$A:$A,0)),"")</f>
        <v/>
      </c>
      <c r="D334" s="0">
        <f>IFERROR(INDEX(lunar_ref!$C:$C,MATCH($A334,lunar_ref!$A:$A,0)),"")</f>
        <v/>
      </c>
      <c r="E334" s="0">
        <f>_xlfn.XLOOKUP($D334,lookup!$A:$A,lookup!$B:$B)</f>
        <v/>
      </c>
      <c r="F334" s="0">
        <f>IF($E334=1,"New",IF($E334=15,"Full",""))</f>
        <v/>
      </c>
      <c r="H334" s="0">
        <f>IF($E334="","",IF(OR($E334=8,$E334=14,$E334=15,$E334=23,$E335=1,$E336=1),"Fast day",""))</f>
        <v/>
      </c>
      <c r="I334" s="0">
        <f>IFERROR(INDEX(lookup!$E:$E,MATCH($C334,lookup!$D:$D,0)),"")</f>
        <v/>
      </c>
      <c r="J334" s="0">
        <f>IF($I334="","",IF(OR($I334=1,$I334=5,$I334=9),IF($K334="","Long fast month","Long fast month (LEAP)"),""))</f>
        <v/>
      </c>
      <c r="K334" s="0">
        <f>IFERROR(IF(INDEX(lookup!$G:$G,MATCH($C334,lookup!$D:$D,0))="LEAP","LEAP MONTH - counts as month "&amp;$I334&amp;", flagged for review",""),"")</f>
        <v/>
      </c>
    </row>
    <row r="335">
      <c r="A335" s="12">
        <f>A334+1</f>
        <v/>
      </c>
      <c r="B335" s="0">
        <f>TEXT(A335,"ddd")</f>
        <v/>
      </c>
      <c r="C335" s="0">
        <f>IFERROR(INDEX(lunar_ref!$B:$B,MATCH($A335,lunar_ref!$A:$A,0)),"")</f>
        <v/>
      </c>
      <c r="D335" s="0">
        <f>IFERROR(INDEX(lunar_ref!$C:$C,MATCH($A335,lunar_ref!$A:$A,0)),"")</f>
        <v/>
      </c>
      <c r="E335" s="0">
        <f>_xlfn.XLOOKUP($D335,lookup!$A:$A,lookup!$B:$B)</f>
        <v/>
      </c>
      <c r="F335" s="0">
        <f>IF($E335=1,"New",IF($E335=15,"Full",""))</f>
        <v/>
      </c>
      <c r="H335" s="0">
        <f>IF($E335="","",IF(OR($E335=8,$E335=14,$E335=15,$E335=23,$E336=1,$E337=1),"Fast day",""))</f>
        <v/>
      </c>
      <c r="I335" s="0">
        <f>IFERROR(INDEX(lookup!$E:$E,MATCH($C335,lookup!$D:$D,0)),"")</f>
        <v/>
      </c>
      <c r="J335" s="0">
        <f>IF($I335="","",IF(OR($I335=1,$I335=5,$I335=9),IF($K335="","Long fast month","Long fast month (LEAP)"),""))</f>
        <v/>
      </c>
      <c r="K335" s="0">
        <f>IFERROR(IF(INDEX(lookup!$G:$G,MATCH($C335,lookup!$D:$D,0))="LEAP","LEAP MONTH - counts as month "&amp;$I335&amp;", flagged for review",""),"")</f>
        <v/>
      </c>
    </row>
    <row r="336">
      <c r="A336" s="12">
        <f>A335+1</f>
        <v/>
      </c>
      <c r="B336" s="0">
        <f>TEXT(A336,"ddd")</f>
        <v/>
      </c>
      <c r="C336" s="0">
        <f>IFERROR(INDEX(lunar_ref!$B:$B,MATCH($A336,lunar_ref!$A:$A,0)),"")</f>
        <v/>
      </c>
      <c r="D336" s="0">
        <f>IFERROR(INDEX(lunar_ref!$C:$C,MATCH($A336,lunar_ref!$A:$A,0)),"")</f>
        <v/>
      </c>
      <c r="E336" s="0">
        <f>_xlfn.XLOOKUP($D336,lookup!$A:$A,lookup!$B:$B)</f>
        <v/>
      </c>
      <c r="F336" s="0">
        <f>IF($E336=1,"New",IF($E336=15,"Full",""))</f>
        <v/>
      </c>
      <c r="H336" s="0">
        <f>IF($E336="","",IF(OR($E336=8,$E336=14,$E336=15,$E336=23,$E337=1,$E338=1),"Fast day",""))</f>
        <v/>
      </c>
      <c r="I336" s="0">
        <f>IFERROR(INDEX(lookup!$E:$E,MATCH($C336,lookup!$D:$D,0)),"")</f>
        <v/>
      </c>
      <c r="J336" s="0">
        <f>IF($I336="","",IF(OR($I336=1,$I336=5,$I336=9),IF($K336="","Long fast month","Long fast month (LEAP)"),""))</f>
        <v/>
      </c>
      <c r="K336" s="0">
        <f>IFERROR(IF(INDEX(lookup!$G:$G,MATCH($C336,lookup!$D:$D,0))="LEAP","LEAP MONTH - counts as month "&amp;$I336&amp;", flagged for review",""),"")</f>
        <v/>
      </c>
    </row>
    <row r="337">
      <c r="A337" s="12">
        <f>A336+1</f>
        <v/>
      </c>
      <c r="B337" s="0">
        <f>TEXT(A337,"ddd")</f>
        <v/>
      </c>
      <c r="C337" s="0">
        <f>IFERROR(INDEX(lunar_ref!$B:$B,MATCH($A337,lunar_ref!$A:$A,0)),"")</f>
        <v/>
      </c>
      <c r="D337" s="0">
        <f>IFERROR(INDEX(lunar_ref!$C:$C,MATCH($A337,lunar_ref!$A:$A,0)),"")</f>
        <v/>
      </c>
      <c r="E337" s="0">
        <f>_xlfn.XLOOKUP($D337,lookup!$A:$A,lookup!$B:$B)</f>
        <v/>
      </c>
      <c r="F337" s="0">
        <f>IF($E337=1,"New",IF($E337=15,"Full",""))</f>
        <v/>
      </c>
      <c r="H337" s="0">
        <f>IF($E337="","",IF(OR($E337=8,$E337=14,$E337=15,$E337=23,$E338=1,$E339=1),"Fast day",""))</f>
        <v/>
      </c>
      <c r="I337" s="0">
        <f>IFERROR(INDEX(lookup!$E:$E,MATCH($C337,lookup!$D:$D,0)),"")</f>
        <v/>
      </c>
      <c r="J337" s="0">
        <f>IF($I337="","",IF(OR($I337=1,$I337=5,$I337=9),IF($K337="","Long fast month","Long fast month (LEAP)"),""))</f>
        <v/>
      </c>
      <c r="K337" s="0">
        <f>IFERROR(IF(INDEX(lookup!$G:$G,MATCH($C337,lookup!$D:$D,0))="LEAP","LEAP MONTH - counts as month "&amp;$I337&amp;", flagged for review",""),"")</f>
        <v/>
      </c>
    </row>
    <row r="338">
      <c r="A338" s="12">
        <f>A337+1</f>
        <v/>
      </c>
      <c r="B338" s="0">
        <f>TEXT(A338,"ddd")</f>
        <v/>
      </c>
      <c r="C338" s="0">
        <f>IFERROR(INDEX(lunar_ref!$B:$B,MATCH($A338,lunar_ref!$A:$A,0)),"")</f>
        <v/>
      </c>
      <c r="D338" s="0">
        <f>IFERROR(INDEX(lunar_ref!$C:$C,MATCH($A338,lunar_ref!$A:$A,0)),"")</f>
        <v/>
      </c>
      <c r="E338" s="0">
        <f>_xlfn.XLOOKUP($D338,lookup!$A:$A,lookup!$B:$B)</f>
        <v/>
      </c>
      <c r="F338" s="0">
        <f>IF($E338=1,"New",IF($E338=15,"Full",""))</f>
        <v/>
      </c>
      <c r="H338" s="0">
        <f>IF($E338="","",IF(OR($E338=8,$E338=14,$E338=15,$E338=23,$E339=1,$E340=1),"Fast day",""))</f>
        <v/>
      </c>
      <c r="I338" s="0">
        <f>IFERROR(INDEX(lookup!$E:$E,MATCH($C338,lookup!$D:$D,0)),"")</f>
        <v/>
      </c>
      <c r="J338" s="0">
        <f>IF($I338="","",IF(OR($I338=1,$I338=5,$I338=9),IF($K338="","Long fast month","Long fast month (LEAP)"),""))</f>
        <v/>
      </c>
      <c r="K338" s="0">
        <f>IFERROR(IF(INDEX(lookup!$G:$G,MATCH($C338,lookup!$D:$D,0))="LEAP","LEAP MONTH - counts as month "&amp;$I338&amp;", flagged for review",""),"")</f>
        <v/>
      </c>
    </row>
    <row r="339">
      <c r="A339" s="12">
        <f>A338+1</f>
        <v/>
      </c>
      <c r="B339" s="0">
        <f>TEXT(A339,"ddd")</f>
        <v/>
      </c>
      <c r="C339" s="0">
        <f>IFERROR(INDEX(lunar_ref!$B:$B,MATCH($A339,lunar_ref!$A:$A,0)),"")</f>
        <v/>
      </c>
      <c r="D339" s="0">
        <f>IFERROR(INDEX(lunar_ref!$C:$C,MATCH($A339,lunar_ref!$A:$A,0)),"")</f>
        <v/>
      </c>
      <c r="E339" s="0">
        <f>_xlfn.XLOOKUP($D339,lookup!$A:$A,lookup!$B:$B)</f>
        <v/>
      </c>
      <c r="F339" s="0">
        <f>IF($E339=1,"New",IF($E339=15,"Full",""))</f>
        <v/>
      </c>
      <c r="H339" s="0">
        <f>IF($E339="","",IF(OR($E339=8,$E339=14,$E339=15,$E339=23,$E340=1,$E341=1),"Fast day",""))</f>
        <v/>
      </c>
      <c r="I339" s="0">
        <f>IFERROR(INDEX(lookup!$E:$E,MATCH($C339,lookup!$D:$D,0)),"")</f>
        <v/>
      </c>
      <c r="J339" s="0">
        <f>IF($I339="","",IF(OR($I339=1,$I339=5,$I339=9),IF($K339="","Long fast month","Long fast month (LEAP)"),""))</f>
        <v/>
      </c>
      <c r="K339" s="0">
        <f>IFERROR(IF(INDEX(lookup!$G:$G,MATCH($C339,lookup!$D:$D,0))="LEAP","LEAP MONTH - counts as month "&amp;$I339&amp;", flagged for review",""),"")</f>
        <v/>
      </c>
    </row>
    <row r="340">
      <c r="A340" s="12">
        <f>A339+1</f>
        <v/>
      </c>
      <c r="B340" s="0">
        <f>TEXT(A340,"ddd")</f>
        <v/>
      </c>
      <c r="C340" s="0">
        <f>IFERROR(INDEX(lunar_ref!$B:$B,MATCH($A340,lunar_ref!$A:$A,0)),"")</f>
        <v/>
      </c>
      <c r="D340" s="0">
        <f>IFERROR(INDEX(lunar_ref!$C:$C,MATCH($A340,lunar_ref!$A:$A,0)),"")</f>
        <v/>
      </c>
      <c r="E340" s="0">
        <f>_xlfn.XLOOKUP($D340,lookup!$A:$A,lookup!$B:$B)</f>
        <v/>
      </c>
      <c r="F340" s="0">
        <f>IF($E340=1,"New",IF($E340=15,"Full",""))</f>
        <v/>
      </c>
      <c r="H340" s="0">
        <f>IF($E340="","",IF(OR($E340=8,$E340=14,$E340=15,$E340=23,$E341=1,$E342=1),"Fast day",""))</f>
        <v/>
      </c>
      <c r="I340" s="0">
        <f>IFERROR(INDEX(lookup!$E:$E,MATCH($C340,lookup!$D:$D,0)),"")</f>
        <v/>
      </c>
      <c r="J340" s="0">
        <f>IF($I340="","",IF(OR($I340=1,$I340=5,$I340=9),IF($K340="","Long fast month","Long fast month (LEAP)"),""))</f>
        <v/>
      </c>
      <c r="K340" s="0">
        <f>IFERROR(IF(INDEX(lookup!$G:$G,MATCH($C340,lookup!$D:$D,0))="LEAP","LEAP MONTH - counts as month "&amp;$I340&amp;", flagged for review",""),"")</f>
        <v/>
      </c>
    </row>
    <row r="341">
      <c r="A341" s="12">
        <f>A340+1</f>
        <v/>
      </c>
      <c r="B341" s="0">
        <f>TEXT(A341,"ddd")</f>
        <v/>
      </c>
      <c r="C341" s="0">
        <f>IFERROR(INDEX(lunar_ref!$B:$B,MATCH($A341,lunar_ref!$A:$A,0)),"")</f>
        <v/>
      </c>
      <c r="D341" s="0">
        <f>IFERROR(INDEX(lunar_ref!$C:$C,MATCH($A341,lunar_ref!$A:$A,0)),"")</f>
        <v/>
      </c>
      <c r="E341" s="0">
        <f>_xlfn.XLOOKUP($D341,lookup!$A:$A,lookup!$B:$B)</f>
        <v/>
      </c>
      <c r="F341" s="0">
        <f>IF($E341=1,"New",IF($E341=15,"Full",""))</f>
        <v/>
      </c>
      <c r="H341" s="0">
        <f>IF($E341="","",IF(OR($E341=8,$E341=14,$E341=15,$E341=23,$E342=1,$E343=1),"Fast day",""))</f>
        <v/>
      </c>
      <c r="I341" s="0">
        <f>IFERROR(INDEX(lookup!$E:$E,MATCH($C341,lookup!$D:$D,0)),"")</f>
        <v/>
      </c>
      <c r="J341" s="0">
        <f>IF($I341="","",IF(OR($I341=1,$I341=5,$I341=9),IF($K341="","Long fast month","Long fast month (LEAP)"),""))</f>
        <v/>
      </c>
      <c r="K341" s="0">
        <f>IFERROR(IF(INDEX(lookup!$G:$G,MATCH($C341,lookup!$D:$D,0))="LEAP","LEAP MONTH - counts as month "&amp;$I341&amp;", flagged for review",""),"")</f>
        <v/>
      </c>
    </row>
    <row r="342">
      <c r="A342" s="12">
        <f>A341+1</f>
        <v/>
      </c>
      <c r="B342" s="0">
        <f>TEXT(A342,"ddd")</f>
        <v/>
      </c>
      <c r="C342" s="0">
        <f>IFERROR(INDEX(lunar_ref!$B:$B,MATCH($A342,lunar_ref!$A:$A,0)),"")</f>
        <v/>
      </c>
      <c r="D342" s="0">
        <f>IFERROR(INDEX(lunar_ref!$C:$C,MATCH($A342,lunar_ref!$A:$A,0)),"")</f>
        <v/>
      </c>
      <c r="E342" s="0">
        <f>_xlfn.XLOOKUP($D342,lookup!$A:$A,lookup!$B:$B)</f>
        <v/>
      </c>
      <c r="F342" s="0">
        <f>IF($E342=1,"New",IF($E342=15,"Full",""))</f>
        <v/>
      </c>
      <c r="H342" s="0">
        <f>IF($E342="","",IF(OR($E342=8,$E342=14,$E342=15,$E342=23,$E343=1,$E344=1),"Fast day",""))</f>
        <v/>
      </c>
      <c r="I342" s="0">
        <f>IFERROR(INDEX(lookup!$E:$E,MATCH($C342,lookup!$D:$D,0)),"")</f>
        <v/>
      </c>
      <c r="J342" s="0">
        <f>IF($I342="","",IF(OR($I342=1,$I342=5,$I342=9),IF($K342="","Long fast month","Long fast month (LEAP)"),""))</f>
        <v/>
      </c>
      <c r="K342" s="0">
        <f>IFERROR(IF(INDEX(lookup!$G:$G,MATCH($C342,lookup!$D:$D,0))="LEAP","LEAP MONTH - counts as month "&amp;$I342&amp;", flagged for review",""),"")</f>
        <v/>
      </c>
    </row>
    <row r="343">
      <c r="A343" s="12">
        <f>A342+1</f>
        <v/>
      </c>
      <c r="B343" s="0">
        <f>TEXT(A343,"ddd")</f>
        <v/>
      </c>
      <c r="C343" s="0">
        <f>IFERROR(INDEX(lunar_ref!$B:$B,MATCH($A343,lunar_ref!$A:$A,0)),"")</f>
        <v/>
      </c>
      <c r="D343" s="0">
        <f>IFERROR(INDEX(lunar_ref!$C:$C,MATCH($A343,lunar_ref!$A:$A,0)),"")</f>
        <v/>
      </c>
      <c r="E343" s="0">
        <f>_xlfn.XLOOKUP($D343,lookup!$A:$A,lookup!$B:$B)</f>
        <v/>
      </c>
      <c r="F343" s="0">
        <f>IF($E343=1,"New",IF($E343=15,"Full",""))</f>
        <v/>
      </c>
      <c r="H343" s="0">
        <f>IF($E343="","",IF(OR($E343=8,$E343=14,$E343=15,$E343=23,$E344=1,$E345=1),"Fast day",""))</f>
        <v/>
      </c>
      <c r="I343" s="0">
        <f>IFERROR(INDEX(lookup!$E:$E,MATCH($C343,lookup!$D:$D,0)),"")</f>
        <v/>
      </c>
      <c r="J343" s="0">
        <f>IF($I343="","",IF(OR($I343=1,$I343=5,$I343=9),IF($K343="","Long fast month","Long fast month (LEAP)"),""))</f>
        <v/>
      </c>
      <c r="K343" s="0">
        <f>IFERROR(IF(INDEX(lookup!$G:$G,MATCH($C343,lookup!$D:$D,0))="LEAP","LEAP MONTH - counts as month "&amp;$I343&amp;", flagged for review",""),"")</f>
        <v/>
      </c>
    </row>
    <row r="344">
      <c r="A344" s="12">
        <f>A343+1</f>
        <v/>
      </c>
      <c r="B344" s="0">
        <f>TEXT(A344,"ddd")</f>
        <v/>
      </c>
      <c r="C344" s="0">
        <f>IFERROR(INDEX(lunar_ref!$B:$B,MATCH($A344,lunar_ref!$A:$A,0)),"")</f>
        <v/>
      </c>
      <c r="D344" s="0">
        <f>IFERROR(INDEX(lunar_ref!$C:$C,MATCH($A344,lunar_ref!$A:$A,0)),"")</f>
        <v/>
      </c>
      <c r="E344" s="0">
        <f>_xlfn.XLOOKUP($D344,lookup!$A:$A,lookup!$B:$B)</f>
        <v/>
      </c>
      <c r="F344" s="0">
        <f>IF($E344=1,"New",IF($E344=15,"Full",""))</f>
        <v/>
      </c>
      <c r="H344" s="0">
        <f>IF($E344="","",IF(OR($E344=8,$E344=14,$E344=15,$E344=23,$E345=1,$E346=1),"Fast day",""))</f>
        <v/>
      </c>
      <c r="I344" s="0">
        <f>IFERROR(INDEX(lookup!$E:$E,MATCH($C344,lookup!$D:$D,0)),"")</f>
        <v/>
      </c>
      <c r="J344" s="0">
        <f>IF($I344="","",IF(OR($I344=1,$I344=5,$I344=9),IF($K344="","Long fast month","Long fast month (LEAP)"),""))</f>
        <v/>
      </c>
      <c r="K344" s="0">
        <f>IFERROR(IF(INDEX(lookup!$G:$G,MATCH($C344,lookup!$D:$D,0))="LEAP","LEAP MONTH - counts as month "&amp;$I344&amp;", flagged for review",""),"")</f>
        <v/>
      </c>
    </row>
    <row r="345">
      <c r="A345" s="12">
        <f>A344+1</f>
        <v/>
      </c>
      <c r="B345" s="0">
        <f>TEXT(A345,"ddd")</f>
        <v/>
      </c>
      <c r="C345" s="0">
        <f>IFERROR(INDEX(lunar_ref!$B:$B,MATCH($A345,lunar_ref!$A:$A,0)),"")</f>
        <v/>
      </c>
      <c r="D345" s="0">
        <f>IFERROR(INDEX(lunar_ref!$C:$C,MATCH($A345,lunar_ref!$A:$A,0)),"")</f>
        <v/>
      </c>
      <c r="E345" s="0">
        <f>_xlfn.XLOOKUP($D345,lookup!$A:$A,lookup!$B:$B)</f>
        <v/>
      </c>
      <c r="F345" s="0">
        <f>IF($E345=1,"New",IF($E345=15,"Full",""))</f>
        <v/>
      </c>
      <c r="H345" s="0">
        <f>IF($E345="","",IF(OR($E345=8,$E345=14,$E345=15,$E345=23,$E346=1,$E347=1),"Fast day",""))</f>
        <v/>
      </c>
      <c r="I345" s="0">
        <f>IFERROR(INDEX(lookup!$E:$E,MATCH($C345,lookup!$D:$D,0)),"")</f>
        <v/>
      </c>
      <c r="J345" s="0">
        <f>IF($I345="","",IF(OR($I345=1,$I345=5,$I345=9),IF($K345="","Long fast month","Long fast month (LEAP)"),""))</f>
        <v/>
      </c>
      <c r="K345" s="0">
        <f>IFERROR(IF(INDEX(lookup!$G:$G,MATCH($C345,lookup!$D:$D,0))="LEAP","LEAP MONTH - counts as month "&amp;$I345&amp;", flagged for review",""),"")</f>
        <v/>
      </c>
    </row>
    <row r="346">
      <c r="A346" s="12">
        <f>A345+1</f>
        <v/>
      </c>
      <c r="B346" s="0">
        <f>TEXT(A346,"ddd")</f>
        <v/>
      </c>
      <c r="C346" s="0">
        <f>IFERROR(INDEX(lunar_ref!$B:$B,MATCH($A346,lunar_ref!$A:$A,0)),"")</f>
        <v/>
      </c>
      <c r="D346" s="0">
        <f>IFERROR(INDEX(lunar_ref!$C:$C,MATCH($A346,lunar_ref!$A:$A,0)),"")</f>
        <v/>
      </c>
      <c r="E346" s="0">
        <f>_xlfn.XLOOKUP($D346,lookup!$A:$A,lookup!$B:$B)</f>
        <v/>
      </c>
      <c r="F346" s="0">
        <f>IF($E346=1,"New",IF($E346=15,"Full",""))</f>
        <v/>
      </c>
      <c r="H346" s="0">
        <f>IF($E346="","",IF(OR($E346=8,$E346=14,$E346=15,$E346=23,$E347=1,$E348=1),"Fast day",""))</f>
        <v/>
      </c>
      <c r="I346" s="0">
        <f>IFERROR(INDEX(lookup!$E:$E,MATCH($C346,lookup!$D:$D,0)),"")</f>
        <v/>
      </c>
      <c r="J346" s="0">
        <f>IF($I346="","",IF(OR($I346=1,$I346=5,$I346=9),IF($K346="","Long fast month","Long fast month (LEAP)"),""))</f>
        <v/>
      </c>
      <c r="K346" s="0">
        <f>IFERROR(IF(INDEX(lookup!$G:$G,MATCH($C346,lookup!$D:$D,0))="LEAP","LEAP MONTH - counts as month "&amp;$I346&amp;", flagged for review",""),"")</f>
        <v/>
      </c>
    </row>
    <row r="347">
      <c r="A347" s="12">
        <f>A346+1</f>
        <v/>
      </c>
      <c r="B347" s="0">
        <f>TEXT(A347,"ddd")</f>
        <v/>
      </c>
      <c r="C347" s="0">
        <f>IFERROR(INDEX(lunar_ref!$B:$B,MATCH($A347,lunar_ref!$A:$A,0)),"")</f>
        <v/>
      </c>
      <c r="D347" s="0">
        <f>IFERROR(INDEX(lunar_ref!$C:$C,MATCH($A347,lunar_ref!$A:$A,0)),"")</f>
        <v/>
      </c>
      <c r="E347" s="0">
        <f>_xlfn.XLOOKUP($D347,lookup!$A:$A,lookup!$B:$B)</f>
        <v/>
      </c>
      <c r="F347" s="0">
        <f>IF($E347=1,"New",IF($E347=15,"Full",""))</f>
        <v/>
      </c>
      <c r="H347" s="0">
        <f>IF($E347="","",IF(OR($E347=8,$E347=14,$E347=15,$E347=23,$E348=1,$E349=1),"Fast day",""))</f>
        <v/>
      </c>
      <c r="I347" s="0">
        <f>IFERROR(INDEX(lookup!$E:$E,MATCH($C347,lookup!$D:$D,0)),"")</f>
        <v/>
      </c>
      <c r="J347" s="0">
        <f>IF($I347="","",IF(OR($I347=1,$I347=5,$I347=9),IF($K347="","Long fast month","Long fast month (LEAP)"),""))</f>
        <v/>
      </c>
      <c r="K347" s="0">
        <f>IFERROR(IF(INDEX(lookup!$G:$G,MATCH($C347,lookup!$D:$D,0))="LEAP","LEAP MONTH - counts as month "&amp;$I347&amp;", flagged for review",""),"")</f>
        <v/>
      </c>
    </row>
    <row r="348">
      <c r="A348" s="12">
        <f>A347+1</f>
        <v/>
      </c>
      <c r="B348" s="0">
        <f>TEXT(A348,"ddd")</f>
        <v/>
      </c>
      <c r="C348" s="0">
        <f>IFERROR(INDEX(lunar_ref!$B:$B,MATCH($A348,lunar_ref!$A:$A,0)),"")</f>
        <v/>
      </c>
      <c r="D348" s="0">
        <f>IFERROR(INDEX(lunar_ref!$C:$C,MATCH($A348,lunar_ref!$A:$A,0)),"")</f>
        <v/>
      </c>
      <c r="E348" s="0">
        <f>_xlfn.XLOOKUP($D348,lookup!$A:$A,lookup!$B:$B)</f>
        <v/>
      </c>
      <c r="F348" s="0">
        <f>IF($E348=1,"New",IF($E348=15,"Full",""))</f>
        <v/>
      </c>
      <c r="H348" s="0">
        <f>IF($E348="","",IF(OR($E348=8,$E348=14,$E348=15,$E348=23,$E349=1,$E350=1),"Fast day",""))</f>
        <v/>
      </c>
      <c r="I348" s="0">
        <f>IFERROR(INDEX(lookup!$E:$E,MATCH($C348,lookup!$D:$D,0)),"")</f>
        <v/>
      </c>
      <c r="J348" s="0">
        <f>IF($I348="","",IF(OR($I348=1,$I348=5,$I348=9),IF($K348="","Long fast month","Long fast month (LEAP)"),""))</f>
        <v/>
      </c>
      <c r="K348" s="0">
        <f>IFERROR(IF(INDEX(lookup!$G:$G,MATCH($C348,lookup!$D:$D,0))="LEAP","LEAP MONTH - counts as month "&amp;$I348&amp;", flagged for review",""),"")</f>
        <v/>
      </c>
    </row>
    <row r="349">
      <c r="A349" s="12">
        <f>A348+1</f>
        <v/>
      </c>
      <c r="B349" s="0">
        <f>TEXT(A349,"ddd")</f>
        <v/>
      </c>
      <c r="C349" s="0">
        <f>IFERROR(INDEX(lunar_ref!$B:$B,MATCH($A349,lunar_ref!$A:$A,0)),"")</f>
        <v/>
      </c>
      <c r="D349" s="0">
        <f>IFERROR(INDEX(lunar_ref!$C:$C,MATCH($A349,lunar_ref!$A:$A,0)),"")</f>
        <v/>
      </c>
      <c r="E349" s="0">
        <f>_xlfn.XLOOKUP($D349,lookup!$A:$A,lookup!$B:$B)</f>
        <v/>
      </c>
      <c r="F349" s="0">
        <f>IF($E349=1,"New",IF($E349=15,"Full",""))</f>
        <v/>
      </c>
      <c r="H349" s="0">
        <f>IF($E349="","",IF(OR($E349=8,$E349=14,$E349=15,$E349=23,$E350=1,$E351=1),"Fast day",""))</f>
        <v/>
      </c>
      <c r="I349" s="0">
        <f>IFERROR(INDEX(lookup!$E:$E,MATCH($C349,lookup!$D:$D,0)),"")</f>
        <v/>
      </c>
      <c r="J349" s="0">
        <f>IF($I349="","",IF(OR($I349=1,$I349=5,$I349=9),IF($K349="","Long fast month","Long fast month (LEAP)"),""))</f>
        <v/>
      </c>
      <c r="K349" s="0">
        <f>IFERROR(IF(INDEX(lookup!$G:$G,MATCH($C349,lookup!$D:$D,0))="LEAP","LEAP MONTH - counts as month "&amp;$I349&amp;", flagged for review",""),"")</f>
        <v/>
      </c>
    </row>
    <row r="350">
      <c r="A350" s="12">
        <f>A349+1</f>
        <v/>
      </c>
      <c r="B350" s="0">
        <f>TEXT(A350,"ddd")</f>
        <v/>
      </c>
      <c r="C350" s="0">
        <f>IFERROR(INDEX(lunar_ref!$B:$B,MATCH($A350,lunar_ref!$A:$A,0)),"")</f>
        <v/>
      </c>
      <c r="D350" s="0">
        <f>IFERROR(INDEX(lunar_ref!$C:$C,MATCH($A350,lunar_ref!$A:$A,0)),"")</f>
        <v/>
      </c>
      <c r="E350" s="0">
        <f>_xlfn.XLOOKUP($D350,lookup!$A:$A,lookup!$B:$B)</f>
        <v/>
      </c>
      <c r="F350" s="0">
        <f>IF($E350=1,"New",IF($E350=15,"Full",""))</f>
        <v/>
      </c>
      <c r="H350" s="0">
        <f>IF($E350="","",IF(OR($E350=8,$E350=14,$E350=15,$E350=23,$E351=1,$E352=1),"Fast day",""))</f>
        <v/>
      </c>
      <c r="I350" s="0">
        <f>IFERROR(INDEX(lookup!$E:$E,MATCH($C350,lookup!$D:$D,0)),"")</f>
        <v/>
      </c>
      <c r="J350" s="0">
        <f>IF($I350="","",IF(OR($I350=1,$I350=5,$I350=9),IF($K350="","Long fast month","Long fast month (LEAP)"),""))</f>
        <v/>
      </c>
      <c r="K350" s="0">
        <f>IFERROR(IF(INDEX(lookup!$G:$G,MATCH($C350,lookup!$D:$D,0))="LEAP","LEAP MONTH - counts as month "&amp;$I350&amp;", flagged for review",""),"")</f>
        <v/>
      </c>
    </row>
    <row r="351">
      <c r="A351" s="12">
        <f>A350+1</f>
        <v/>
      </c>
      <c r="B351" s="0">
        <f>TEXT(A351,"ddd")</f>
        <v/>
      </c>
      <c r="C351" s="0">
        <f>IFERROR(INDEX(lunar_ref!$B:$B,MATCH($A351,lunar_ref!$A:$A,0)),"")</f>
        <v/>
      </c>
      <c r="D351" s="0">
        <f>IFERROR(INDEX(lunar_ref!$C:$C,MATCH($A351,lunar_ref!$A:$A,0)),"")</f>
        <v/>
      </c>
      <c r="E351" s="0">
        <f>_xlfn.XLOOKUP($D351,lookup!$A:$A,lookup!$B:$B)</f>
        <v/>
      </c>
      <c r="F351" s="0">
        <f>IF($E351=1,"New",IF($E351=15,"Full",""))</f>
        <v/>
      </c>
      <c r="H351" s="0">
        <f>IF($E351="","",IF(OR($E351=8,$E351=14,$E351=15,$E351=23,$E352=1,$E353=1),"Fast day",""))</f>
        <v/>
      </c>
      <c r="I351" s="0">
        <f>IFERROR(INDEX(lookup!$E:$E,MATCH($C351,lookup!$D:$D,0)),"")</f>
        <v/>
      </c>
      <c r="J351" s="0">
        <f>IF($I351="","",IF(OR($I351=1,$I351=5,$I351=9),IF($K351="","Long fast month","Long fast month (LEAP)"),""))</f>
        <v/>
      </c>
      <c r="K351" s="0">
        <f>IFERROR(IF(INDEX(lookup!$G:$G,MATCH($C351,lookup!$D:$D,0))="LEAP","LEAP MONTH - counts as month "&amp;$I351&amp;", flagged for review",""),"")</f>
        <v/>
      </c>
    </row>
    <row r="352">
      <c r="A352" s="12">
        <f>A351+1</f>
        <v/>
      </c>
      <c r="B352" s="0">
        <f>TEXT(A352,"ddd")</f>
        <v/>
      </c>
      <c r="C352" s="0">
        <f>IFERROR(INDEX(lunar_ref!$B:$B,MATCH($A352,lunar_ref!$A:$A,0)),"")</f>
        <v/>
      </c>
      <c r="D352" s="0">
        <f>IFERROR(INDEX(lunar_ref!$C:$C,MATCH($A352,lunar_ref!$A:$A,0)),"")</f>
        <v/>
      </c>
      <c r="E352" s="0">
        <f>_xlfn.XLOOKUP($D352,lookup!$A:$A,lookup!$B:$B)</f>
        <v/>
      </c>
      <c r="F352" s="0">
        <f>IF($E352=1,"New",IF($E352=15,"Full",""))</f>
        <v/>
      </c>
      <c r="H352" s="0">
        <f>IF($E352="","",IF(OR($E352=8,$E352=14,$E352=15,$E352=23,$E353=1,$E354=1),"Fast day",""))</f>
        <v/>
      </c>
      <c r="I352" s="0">
        <f>IFERROR(INDEX(lookup!$E:$E,MATCH($C352,lookup!$D:$D,0)),"")</f>
        <v/>
      </c>
      <c r="J352" s="0">
        <f>IF($I352="","",IF(OR($I352=1,$I352=5,$I352=9),IF($K352="","Long fast month","Long fast month (LEAP)"),""))</f>
        <v/>
      </c>
      <c r="K352" s="0">
        <f>IFERROR(IF(INDEX(lookup!$G:$G,MATCH($C352,lookup!$D:$D,0))="LEAP","LEAP MONTH - counts as month "&amp;$I352&amp;", flagged for review",""),"")</f>
        <v/>
      </c>
    </row>
    <row r="353">
      <c r="A353" s="12">
        <f>A352+1</f>
        <v/>
      </c>
      <c r="B353" s="0">
        <f>TEXT(A353,"ddd")</f>
        <v/>
      </c>
      <c r="C353" s="0">
        <f>IFERROR(INDEX(lunar_ref!$B:$B,MATCH($A353,lunar_ref!$A:$A,0)),"")</f>
        <v/>
      </c>
      <c r="D353" s="0">
        <f>IFERROR(INDEX(lunar_ref!$C:$C,MATCH($A353,lunar_ref!$A:$A,0)),"")</f>
        <v/>
      </c>
      <c r="E353" s="0">
        <f>_xlfn.XLOOKUP($D353,lookup!$A:$A,lookup!$B:$B)</f>
        <v/>
      </c>
      <c r="F353" s="0">
        <f>IF($E353=1,"New",IF($E353=15,"Full",""))</f>
        <v/>
      </c>
      <c r="H353" s="0">
        <f>IF($E353="","",IF(OR($E353=8,$E353=14,$E353=15,$E353=23,$E354=1,$E355=1),"Fast day",""))</f>
        <v/>
      </c>
      <c r="I353" s="0">
        <f>IFERROR(INDEX(lookup!$E:$E,MATCH($C353,lookup!$D:$D,0)),"")</f>
        <v/>
      </c>
      <c r="J353" s="0">
        <f>IF($I353="","",IF(OR($I353=1,$I353=5,$I353=9),IF($K353="","Long fast month","Long fast month (LEAP)"),""))</f>
        <v/>
      </c>
      <c r="K353" s="0">
        <f>IFERROR(IF(INDEX(lookup!$G:$G,MATCH($C353,lookup!$D:$D,0))="LEAP","LEAP MONTH - counts as month "&amp;$I353&amp;", flagged for review",""),"")</f>
        <v/>
      </c>
    </row>
    <row r="354">
      <c r="A354" s="12">
        <f>A353+1</f>
        <v/>
      </c>
      <c r="B354" s="0">
        <f>TEXT(A354,"ddd")</f>
        <v/>
      </c>
      <c r="C354" s="0">
        <f>IFERROR(INDEX(lunar_ref!$B:$B,MATCH($A354,lunar_ref!$A:$A,0)),"")</f>
        <v/>
      </c>
      <c r="D354" s="0">
        <f>IFERROR(INDEX(lunar_ref!$C:$C,MATCH($A354,lunar_ref!$A:$A,0)),"")</f>
        <v/>
      </c>
      <c r="E354" s="0">
        <f>_xlfn.XLOOKUP($D354,lookup!$A:$A,lookup!$B:$B)</f>
        <v/>
      </c>
      <c r="F354" s="0">
        <f>IF($E354=1,"New",IF($E354=15,"Full",""))</f>
        <v/>
      </c>
      <c r="H354" s="0">
        <f>IF($E354="","",IF(OR($E354=8,$E354=14,$E354=15,$E354=23,$E355=1,$E356=1),"Fast day",""))</f>
        <v/>
      </c>
      <c r="I354" s="0">
        <f>IFERROR(INDEX(lookup!$E:$E,MATCH($C354,lookup!$D:$D,0)),"")</f>
        <v/>
      </c>
      <c r="J354" s="0">
        <f>IF($I354="","",IF(OR($I354=1,$I354=5,$I354=9),IF($K354="","Long fast month","Long fast month (LEAP)"),""))</f>
        <v/>
      </c>
      <c r="K354" s="0">
        <f>IFERROR(IF(INDEX(lookup!$G:$G,MATCH($C354,lookup!$D:$D,0))="LEAP","LEAP MONTH - counts as month "&amp;$I354&amp;", flagged for review",""),"")</f>
        <v/>
      </c>
    </row>
    <row r="355">
      <c r="A355" s="12">
        <f>A354+1</f>
        <v/>
      </c>
      <c r="B355" s="0">
        <f>TEXT(A355,"ddd")</f>
        <v/>
      </c>
      <c r="C355" s="0">
        <f>IFERROR(INDEX(lunar_ref!$B:$B,MATCH($A355,lunar_ref!$A:$A,0)),"")</f>
        <v/>
      </c>
      <c r="D355" s="0">
        <f>IFERROR(INDEX(lunar_ref!$C:$C,MATCH($A355,lunar_ref!$A:$A,0)),"")</f>
        <v/>
      </c>
      <c r="E355" s="0">
        <f>_xlfn.XLOOKUP($D355,lookup!$A:$A,lookup!$B:$B)</f>
        <v/>
      </c>
      <c r="F355" s="0">
        <f>IF($E355=1,"New",IF($E355=15,"Full",""))</f>
        <v/>
      </c>
      <c r="H355" s="0">
        <f>IF($E355="","",IF(OR($E355=8,$E355=14,$E355=15,$E355=23,$E356=1,$E357=1),"Fast day",""))</f>
        <v/>
      </c>
      <c r="I355" s="0">
        <f>IFERROR(INDEX(lookup!$E:$E,MATCH($C355,lookup!$D:$D,0)),"")</f>
        <v/>
      </c>
      <c r="J355" s="0">
        <f>IF($I355="","",IF(OR($I355=1,$I355=5,$I355=9),IF($K355="","Long fast month","Long fast month (LEAP)"),""))</f>
        <v/>
      </c>
      <c r="K355" s="0">
        <f>IFERROR(IF(INDEX(lookup!$G:$G,MATCH($C355,lookup!$D:$D,0))="LEAP","LEAP MONTH - counts as month "&amp;$I355&amp;", flagged for review",""),"")</f>
        <v/>
      </c>
    </row>
    <row r="356">
      <c r="A356" s="12">
        <f>A355+1</f>
        <v/>
      </c>
      <c r="B356" s="0">
        <f>TEXT(A356,"ddd")</f>
        <v/>
      </c>
      <c r="C356" s="0">
        <f>IFERROR(INDEX(lunar_ref!$B:$B,MATCH($A356,lunar_ref!$A:$A,0)),"")</f>
        <v/>
      </c>
      <c r="D356" s="0">
        <f>IFERROR(INDEX(lunar_ref!$C:$C,MATCH($A356,lunar_ref!$A:$A,0)),"")</f>
        <v/>
      </c>
      <c r="E356" s="0">
        <f>_xlfn.XLOOKUP($D356,lookup!$A:$A,lookup!$B:$B)</f>
        <v/>
      </c>
      <c r="F356" s="0">
        <f>IF($E356=1,"New",IF($E356=15,"Full",""))</f>
        <v/>
      </c>
      <c r="H356" s="0">
        <f>IF($E356="","",IF(OR($E356=8,$E356=14,$E356=15,$E356=23,$E357=1,$E358=1),"Fast day",""))</f>
        <v/>
      </c>
      <c r="I356" s="0">
        <f>IFERROR(INDEX(lookup!$E:$E,MATCH($C356,lookup!$D:$D,0)),"")</f>
        <v/>
      </c>
      <c r="J356" s="0">
        <f>IF($I356="","",IF(OR($I356=1,$I356=5,$I356=9),IF($K356="","Long fast month","Long fast month (LEAP)"),""))</f>
        <v/>
      </c>
      <c r="K356" s="0">
        <f>IFERROR(IF(INDEX(lookup!$G:$G,MATCH($C356,lookup!$D:$D,0))="LEAP","LEAP MONTH - counts as month "&amp;$I356&amp;", flagged for review",""),"")</f>
        <v/>
      </c>
    </row>
    <row r="357">
      <c r="A357" s="12">
        <f>A356+1</f>
        <v/>
      </c>
      <c r="B357" s="0">
        <f>TEXT(A357,"ddd")</f>
        <v/>
      </c>
      <c r="C357" s="0">
        <f>IFERROR(INDEX(lunar_ref!$B:$B,MATCH($A357,lunar_ref!$A:$A,0)),"")</f>
        <v/>
      </c>
      <c r="D357" s="0">
        <f>IFERROR(INDEX(lunar_ref!$C:$C,MATCH($A357,lunar_ref!$A:$A,0)),"")</f>
        <v/>
      </c>
      <c r="E357" s="0">
        <f>_xlfn.XLOOKUP($D357,lookup!$A:$A,lookup!$B:$B)</f>
        <v/>
      </c>
      <c r="F357" s="0">
        <f>IF($E357=1,"New",IF($E357=15,"Full",""))</f>
        <v/>
      </c>
      <c r="H357" s="0">
        <f>IF($E357="","",IF(OR($E357=8,$E357=14,$E357=15,$E357=23,$E358=1,$E359=1),"Fast day",""))</f>
        <v/>
      </c>
      <c r="I357" s="0">
        <f>IFERROR(INDEX(lookup!$E:$E,MATCH($C357,lookup!$D:$D,0)),"")</f>
        <v/>
      </c>
      <c r="J357" s="0">
        <f>IF($I357="","",IF(OR($I357=1,$I357=5,$I357=9),IF($K357="","Long fast month","Long fast month (LEAP)"),""))</f>
        <v/>
      </c>
      <c r="K357" s="0">
        <f>IFERROR(IF(INDEX(lookup!$G:$G,MATCH($C357,lookup!$D:$D,0))="LEAP","LEAP MONTH - counts as month "&amp;$I357&amp;", flagged for review",""),"")</f>
        <v/>
      </c>
    </row>
    <row r="358">
      <c r="A358" s="12">
        <f>A357+1</f>
        <v/>
      </c>
      <c r="B358" s="0">
        <f>TEXT(A358,"ddd")</f>
        <v/>
      </c>
      <c r="C358" s="0">
        <f>IFERROR(INDEX(lunar_ref!$B:$B,MATCH($A358,lunar_ref!$A:$A,0)),"")</f>
        <v/>
      </c>
      <c r="D358" s="0">
        <f>IFERROR(INDEX(lunar_ref!$C:$C,MATCH($A358,lunar_ref!$A:$A,0)),"")</f>
        <v/>
      </c>
      <c r="E358" s="0">
        <f>_xlfn.XLOOKUP($D358,lookup!$A:$A,lookup!$B:$B)</f>
        <v/>
      </c>
      <c r="F358" s="0">
        <f>IF($E358=1,"New",IF($E358=15,"Full",""))</f>
        <v/>
      </c>
      <c r="H358" s="0">
        <f>IF($E358="","",IF(OR($E358=8,$E358=14,$E358=15,$E358=23,$E359=1,$E360=1),"Fast day",""))</f>
        <v/>
      </c>
      <c r="I358" s="0">
        <f>IFERROR(INDEX(lookup!$E:$E,MATCH($C358,lookup!$D:$D,0)),"")</f>
        <v/>
      </c>
      <c r="J358" s="0">
        <f>IF($I358="","",IF(OR($I358=1,$I358=5,$I358=9),IF($K358="","Long fast month","Long fast month (LEAP)"),""))</f>
        <v/>
      </c>
      <c r="K358" s="0">
        <f>IFERROR(IF(INDEX(lookup!$G:$G,MATCH($C358,lookup!$D:$D,0))="LEAP","LEAP MONTH - counts as month "&amp;$I358&amp;", flagged for review",""),"")</f>
        <v/>
      </c>
    </row>
    <row r="359">
      <c r="A359" s="12">
        <f>A358+1</f>
        <v/>
      </c>
      <c r="B359" s="0">
        <f>TEXT(A359,"ddd")</f>
        <v/>
      </c>
      <c r="C359" s="0">
        <f>IFERROR(INDEX(lunar_ref!$B:$B,MATCH($A359,lunar_ref!$A:$A,0)),"")</f>
        <v/>
      </c>
      <c r="D359" s="0">
        <f>IFERROR(INDEX(lunar_ref!$C:$C,MATCH($A359,lunar_ref!$A:$A,0)),"")</f>
        <v/>
      </c>
      <c r="E359" s="0">
        <f>_xlfn.XLOOKUP($D359,lookup!$A:$A,lookup!$B:$B)</f>
        <v/>
      </c>
      <c r="F359" s="0">
        <f>IF($E359=1,"New",IF($E359=15,"Full",""))</f>
        <v/>
      </c>
      <c r="H359" s="0">
        <f>IF($E359="","",IF(OR($E359=8,$E359=14,$E359=15,$E359=23,$E360=1,$E361=1),"Fast day",""))</f>
        <v/>
      </c>
      <c r="I359" s="0">
        <f>IFERROR(INDEX(lookup!$E:$E,MATCH($C359,lookup!$D:$D,0)),"")</f>
        <v/>
      </c>
      <c r="J359" s="0">
        <f>IF($I359="","",IF(OR($I359=1,$I359=5,$I359=9),IF($K359="","Long fast month","Long fast month (LEAP)"),""))</f>
        <v/>
      </c>
      <c r="K359" s="0">
        <f>IFERROR(IF(INDEX(lookup!$G:$G,MATCH($C359,lookup!$D:$D,0))="LEAP","LEAP MONTH - counts as month "&amp;$I359&amp;", flagged for review",""),"")</f>
        <v/>
      </c>
    </row>
    <row r="360">
      <c r="A360" s="12">
        <f>A359+1</f>
        <v/>
      </c>
      <c r="B360" s="0">
        <f>TEXT(A360,"ddd")</f>
        <v/>
      </c>
      <c r="C360" s="0">
        <f>IFERROR(INDEX(lunar_ref!$B:$B,MATCH($A360,lunar_ref!$A:$A,0)),"")</f>
        <v/>
      </c>
      <c r="D360" s="0">
        <f>IFERROR(INDEX(lunar_ref!$C:$C,MATCH($A360,lunar_ref!$A:$A,0)),"")</f>
        <v/>
      </c>
      <c r="E360" s="0">
        <f>_xlfn.XLOOKUP($D360,lookup!$A:$A,lookup!$B:$B)</f>
        <v/>
      </c>
      <c r="F360" s="0">
        <f>IF($E360=1,"New",IF($E360=15,"Full",""))</f>
        <v/>
      </c>
      <c r="H360" s="0">
        <f>IF($E360="","",IF(OR($E360=8,$E360=14,$E360=15,$E360=23,$E361=1,$E362=1),"Fast day",""))</f>
        <v/>
      </c>
      <c r="I360" s="0">
        <f>IFERROR(INDEX(lookup!$E:$E,MATCH($C360,lookup!$D:$D,0)),"")</f>
        <v/>
      </c>
      <c r="J360" s="0">
        <f>IF($I360="","",IF(OR($I360=1,$I360=5,$I360=9),IF($K360="","Long fast month","Long fast month (LEAP)"),""))</f>
        <v/>
      </c>
      <c r="K360" s="0">
        <f>IFERROR(IF(INDEX(lookup!$G:$G,MATCH($C360,lookup!$D:$D,0))="LEAP","LEAP MONTH - counts as month "&amp;$I360&amp;", flagged for review",""),"")</f>
        <v/>
      </c>
    </row>
    <row r="361">
      <c r="A361" s="12">
        <f>A360+1</f>
        <v/>
      </c>
      <c r="B361" s="0">
        <f>TEXT(A361,"ddd")</f>
        <v/>
      </c>
      <c r="C361" s="0">
        <f>IFERROR(INDEX(lunar_ref!$B:$B,MATCH($A361,lunar_ref!$A:$A,0)),"")</f>
        <v/>
      </c>
      <c r="D361" s="0">
        <f>IFERROR(INDEX(lunar_ref!$C:$C,MATCH($A361,lunar_ref!$A:$A,0)),"")</f>
        <v/>
      </c>
      <c r="E361" s="0">
        <f>_xlfn.XLOOKUP($D361,lookup!$A:$A,lookup!$B:$B)</f>
        <v/>
      </c>
      <c r="F361" s="0">
        <f>IF($E361=1,"New",IF($E361=15,"Full",""))</f>
        <v/>
      </c>
      <c r="H361" s="0">
        <f>IF($E361="","",IF(OR($E361=8,$E361=14,$E361=15,$E361=23,$E362=1,$E363=1),"Fast day",""))</f>
        <v/>
      </c>
      <c r="I361" s="0">
        <f>IFERROR(INDEX(lookup!$E:$E,MATCH($C361,lookup!$D:$D,0)),"")</f>
        <v/>
      </c>
      <c r="J361" s="0">
        <f>IF($I361="","",IF(OR($I361=1,$I361=5,$I361=9),IF($K361="","Long fast month","Long fast month (LEAP)"),""))</f>
        <v/>
      </c>
      <c r="K361" s="0">
        <f>IFERROR(IF(INDEX(lookup!$G:$G,MATCH($C361,lookup!$D:$D,0))="LEAP","LEAP MONTH - counts as month "&amp;$I361&amp;", flagged for review",""),"")</f>
        <v/>
      </c>
    </row>
    <row r="362">
      <c r="A362" s="12">
        <f>A361+1</f>
        <v/>
      </c>
      <c r="B362" s="0">
        <f>TEXT(A362,"ddd")</f>
        <v/>
      </c>
      <c r="C362" s="0">
        <f>IFERROR(INDEX(lunar_ref!$B:$B,MATCH($A362,lunar_ref!$A:$A,0)),"")</f>
        <v/>
      </c>
      <c r="D362" s="0">
        <f>IFERROR(INDEX(lunar_ref!$C:$C,MATCH($A362,lunar_ref!$A:$A,0)),"")</f>
        <v/>
      </c>
      <c r="E362" s="0">
        <f>_xlfn.XLOOKUP($D362,lookup!$A:$A,lookup!$B:$B)</f>
        <v/>
      </c>
      <c r="F362" s="0">
        <f>IF($E362=1,"New",IF($E362=15,"Full",""))</f>
        <v/>
      </c>
      <c r="H362" s="0">
        <f>IF($E362="","",IF(OR($E362=8,$E362=14,$E362=15,$E362=23,$E363=1,$E364=1),"Fast day",""))</f>
        <v/>
      </c>
      <c r="I362" s="0">
        <f>IFERROR(INDEX(lookup!$E:$E,MATCH($C362,lookup!$D:$D,0)),"")</f>
        <v/>
      </c>
      <c r="J362" s="0">
        <f>IF($I362="","",IF(OR($I362=1,$I362=5,$I362=9),IF($K362="","Long fast month","Long fast month (LEAP)"),""))</f>
        <v/>
      </c>
      <c r="K362" s="0">
        <f>IFERROR(IF(INDEX(lookup!$G:$G,MATCH($C362,lookup!$D:$D,0))="LEAP","LEAP MONTH - counts as month "&amp;$I362&amp;", flagged for review",""),"")</f>
        <v/>
      </c>
    </row>
    <row r="363">
      <c r="A363" s="12">
        <f>A362+1</f>
        <v/>
      </c>
      <c r="B363" s="0">
        <f>TEXT(A363,"ddd")</f>
        <v/>
      </c>
      <c r="C363" s="0">
        <f>IFERROR(INDEX(lunar_ref!$B:$B,MATCH($A363,lunar_ref!$A:$A,0)),"")</f>
        <v/>
      </c>
      <c r="D363" s="0">
        <f>IFERROR(INDEX(lunar_ref!$C:$C,MATCH($A363,lunar_ref!$A:$A,0)),"")</f>
        <v/>
      </c>
      <c r="E363" s="0">
        <f>_xlfn.XLOOKUP($D363,lookup!$A:$A,lookup!$B:$B)</f>
        <v/>
      </c>
      <c r="F363" s="0">
        <f>IF($E363=1,"New",IF($E363=15,"Full",""))</f>
        <v/>
      </c>
      <c r="H363" s="0">
        <f>IF($E363="","",IF(OR($E363=8,$E363=14,$E363=15,$E363=23,$E364=1,$E365=1),"Fast day",""))</f>
        <v/>
      </c>
      <c r="I363" s="0">
        <f>IFERROR(INDEX(lookup!$E:$E,MATCH($C363,lookup!$D:$D,0)),"")</f>
        <v/>
      </c>
      <c r="J363" s="0">
        <f>IF($I363="","",IF(OR($I363=1,$I363=5,$I363=9),IF($K363="","Long fast month","Long fast month (LEAP)"),""))</f>
        <v/>
      </c>
      <c r="K363" s="0">
        <f>IFERROR(IF(INDEX(lookup!$G:$G,MATCH($C363,lookup!$D:$D,0))="LEAP","LEAP MONTH - counts as month "&amp;$I363&amp;", flagged for review",""),"")</f>
        <v/>
      </c>
    </row>
    <row r="364">
      <c r="A364" s="12">
        <f>A363+1</f>
        <v/>
      </c>
      <c r="B364" s="0">
        <f>TEXT(A364,"ddd")</f>
        <v/>
      </c>
      <c r="C364" s="0">
        <f>IFERROR(INDEX(lunar_ref!$B:$B,MATCH($A364,lunar_ref!$A:$A,0)),"")</f>
        <v/>
      </c>
      <c r="D364" s="0">
        <f>IFERROR(INDEX(lunar_ref!$C:$C,MATCH($A364,lunar_ref!$A:$A,0)),"")</f>
        <v/>
      </c>
      <c r="E364" s="0">
        <f>_xlfn.XLOOKUP($D364,lookup!$A:$A,lookup!$B:$B)</f>
        <v/>
      </c>
      <c r="F364" s="0">
        <f>IF($E364=1,"New",IF($E364=15,"Full",""))</f>
        <v/>
      </c>
      <c r="H364" s="0">
        <f>IF($E364="","",IF(OR($E364=8,$E364=14,$E364=15,$E364=23,$E365=1,$E366=1),"Fast day",""))</f>
        <v/>
      </c>
      <c r="I364" s="0">
        <f>IFERROR(INDEX(lookup!$E:$E,MATCH($C364,lookup!$D:$D,0)),"")</f>
        <v/>
      </c>
      <c r="J364" s="0">
        <f>IF($I364="","",IF(OR($I364=1,$I364=5,$I364=9),IF($K364="","Long fast month","Long fast month (LEAP)"),""))</f>
        <v/>
      </c>
      <c r="K364" s="0">
        <f>IFERROR(IF(INDEX(lookup!$G:$G,MATCH($C364,lookup!$D:$D,0))="LEAP","LEAP MONTH - counts as month "&amp;$I364&amp;", flagged for review",""),"")</f>
        <v/>
      </c>
    </row>
    <row r="365">
      <c r="A365" s="12">
        <f>A364+1</f>
        <v/>
      </c>
      <c r="B365" s="0">
        <f>TEXT(A365,"ddd")</f>
        <v/>
      </c>
      <c r="C365" s="0">
        <f>IFERROR(INDEX(lunar_ref!$B:$B,MATCH($A365,lunar_ref!$A:$A,0)),"")</f>
        <v/>
      </c>
      <c r="D365" s="0">
        <f>IFERROR(INDEX(lunar_ref!$C:$C,MATCH($A365,lunar_ref!$A:$A,0)),"")</f>
        <v/>
      </c>
      <c r="E365" s="0">
        <f>_xlfn.XLOOKUP($D365,lookup!$A:$A,lookup!$B:$B)</f>
        <v/>
      </c>
      <c r="F365" s="0">
        <f>IF($E365=1,"New",IF($E365=15,"Full",""))</f>
        <v/>
      </c>
      <c r="H365" s="0">
        <f>IF($E365="","",IF(OR($E365=8,$E365=14,$E365=15,$E365=23,$E366=1,$E367=1),"Fast day",""))</f>
        <v/>
      </c>
      <c r="I365" s="0">
        <f>IFERROR(INDEX(lookup!$E:$E,MATCH($C365,lookup!$D:$D,0)),"")</f>
        <v/>
      </c>
      <c r="J365" s="0">
        <f>IF($I365="","",IF(OR($I365=1,$I365=5,$I365=9),IF($K365="","Long fast month","Long fast month (LEAP)"),""))</f>
        <v/>
      </c>
      <c r="K365" s="0">
        <f>IFERROR(IF(INDEX(lookup!$G:$G,MATCH($C365,lookup!$D:$D,0))="LEAP","LEAP MONTH - counts as month "&amp;$I365&amp;", flagged for review",""),"")</f>
        <v/>
      </c>
    </row>
    <row r="366">
      <c r="A366" s="12">
        <f>A365+1</f>
        <v/>
      </c>
      <c r="B366" s="0">
        <f>TEXT(A366,"ddd")</f>
        <v/>
      </c>
      <c r="C366" s="0">
        <f>IFERROR(INDEX(lunar_ref!$B:$B,MATCH($A366,lunar_ref!$A:$A,0)),"")</f>
        <v/>
      </c>
      <c r="D366" s="0">
        <f>IFERROR(INDEX(lunar_ref!$C:$C,MATCH($A366,lunar_ref!$A:$A,0)),"")</f>
        <v/>
      </c>
      <c r="E366" s="0">
        <f>_xlfn.XLOOKUP($D366,lookup!$A:$A,lookup!$B:$B)</f>
        <v/>
      </c>
      <c r="F366" s="0">
        <f>IF($E366=1,"New",IF($E366=15,"Full",""))</f>
        <v/>
      </c>
      <c r="H366" s="0">
        <f>IF($E366="","",IF(OR($E366=8,$E366=14,$E366=15,$E366=23,$E367=1,$E368=1),"Fast day",""))</f>
        <v/>
      </c>
      <c r="I366" s="0">
        <f>IFERROR(INDEX(lookup!$E:$E,MATCH($C366,lookup!$D:$D,0)),"")</f>
        <v/>
      </c>
      <c r="J366" s="0">
        <f>IF($I366="","",IF(OR($I366=1,$I366=5,$I366=9),IF($K366="","Long fast month","Long fast month (LEAP)"),""))</f>
        <v/>
      </c>
      <c r="K366" s="0">
        <f>IFERROR(IF(INDEX(lookup!$G:$G,MATCH($C366,lookup!$D:$D,0))="LEAP","LEAP MONTH - counts as month "&amp;$I366&amp;", flagged for review",""),"")</f>
        <v/>
      </c>
    </row>
  </sheetData>
  <conditionalFormatting sqref="A2:K366">
    <cfRule type="expression" priority="2" dxfId="1" stopIfTrue="0">
      <formula>$K2&lt;&gt;""</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sheetPr>
  <dimension ref="A1:G1000"/>
  <sheetViews>
    <sheetView workbookViewId="0">
      <selection activeCell="A1" sqref="A1"/>
    </sheetView>
  </sheetViews>
  <sheetFormatPr baseColWidth="8" defaultColWidth="12.63" defaultRowHeight="15" customHeight="1"/>
  <cols>
    <col width="12.63" customWidth="1" style="10" min="1" max="5"/>
    <col width="38" customWidth="1" style="10" min="6" max="6"/>
    <col width="10" customWidth="1" style="10" min="7" max="7"/>
  </cols>
  <sheetData>
    <row r="1" ht="15.75" customHeight="1" s="10">
      <c r="A1" s="1" t="inlineStr">
        <is>
          <t>lunar_day</t>
        </is>
      </c>
      <c r="B1" s="1" t="inlineStr">
        <is>
          <t>eng_day</t>
        </is>
      </c>
      <c r="D1" s="2" t="inlineStr">
        <is>
          <t>lunar_month</t>
        </is>
      </c>
      <c r="E1" s="2" t="inlineStr">
        <is>
          <t>month_num</t>
        </is>
      </c>
      <c r="F1" s="2" t="inlineStr">
        <is>
          <t>gloss</t>
        </is>
      </c>
      <c r="G1" s="11" t="inlineStr">
        <is>
          <t>leap?</t>
        </is>
      </c>
    </row>
    <row r="2" ht="15.75" customHeight="1" s="10">
      <c r="A2" s="1" t="inlineStr">
        <is>
          <t>三十</t>
        </is>
      </c>
      <c r="B2" s="1" t="n">
        <v>30</v>
      </c>
      <c r="D2" s="5" t="inlineStr">
        <is>
          <t>正月</t>
        </is>
      </c>
      <c r="E2" s="5" t="n">
        <v>1</v>
      </c>
      <c r="F2" s="5" t="inlineStr">
        <is>
          <t>1st month (zheng yue, 'principal month')</t>
        </is>
      </c>
      <c r="G2" s="0" t="inlineStr">
        <is>
          <t>regular</t>
        </is>
      </c>
    </row>
    <row r="3" ht="15.75" customHeight="1" s="10">
      <c r="A3" s="1" t="inlineStr">
        <is>
          <t>初一</t>
        </is>
      </c>
      <c r="B3" s="1" t="n">
        <v>1</v>
      </c>
      <c r="D3" s="5" t="inlineStr">
        <is>
          <t>一月</t>
        </is>
      </c>
      <c r="E3" s="5" t="n">
        <v>1</v>
      </c>
      <c r="F3" s="5" t="inlineStr">
        <is>
          <t>1st month (yi yue) - alternate form</t>
        </is>
      </c>
      <c r="G3" s="0" t="inlineStr">
        <is>
          <t>regular</t>
        </is>
      </c>
    </row>
    <row r="4" ht="15.75" customHeight="1" s="10">
      <c r="A4" s="1" t="inlineStr">
        <is>
          <t>初二</t>
        </is>
      </c>
      <c r="B4" s="1" t="n">
        <v>2</v>
      </c>
      <c r="D4" s="5" t="inlineStr">
        <is>
          <t>二月</t>
        </is>
      </c>
      <c r="E4" s="5" t="n">
        <v>2</v>
      </c>
      <c r="F4" s="5" t="inlineStr">
        <is>
          <t>2nd month (er yue)</t>
        </is>
      </c>
      <c r="G4" s="0" t="inlineStr">
        <is>
          <t>regular</t>
        </is>
      </c>
    </row>
    <row r="5" ht="15.75" customHeight="1" s="10">
      <c r="A5" s="1" t="inlineStr">
        <is>
          <t>初三</t>
        </is>
      </c>
      <c r="B5" s="1" t="n">
        <v>3</v>
      </c>
      <c r="D5" s="5" t="inlineStr">
        <is>
          <t>三月</t>
        </is>
      </c>
      <c r="E5" s="5" t="n">
        <v>3</v>
      </c>
      <c r="F5" s="5" t="inlineStr">
        <is>
          <t>3rd month (san yue)</t>
        </is>
      </c>
      <c r="G5" s="0" t="inlineStr">
        <is>
          <t>regular</t>
        </is>
      </c>
    </row>
    <row r="6" ht="15.75" customHeight="1" s="10">
      <c r="A6" s="1" t="inlineStr">
        <is>
          <t>初四</t>
        </is>
      </c>
      <c r="B6" s="1" t="n">
        <v>4</v>
      </c>
      <c r="D6" s="5" t="inlineStr">
        <is>
          <t>四月</t>
        </is>
      </c>
      <c r="E6" s="5" t="n">
        <v>4</v>
      </c>
      <c r="F6" s="5" t="inlineStr">
        <is>
          <t>4th month (si yue)</t>
        </is>
      </c>
      <c r="G6" s="0" t="inlineStr">
        <is>
          <t>regular</t>
        </is>
      </c>
    </row>
    <row r="7" ht="15.75" customHeight="1" s="10">
      <c r="A7" s="1" t="inlineStr">
        <is>
          <t>初五</t>
        </is>
      </c>
      <c r="B7" s="1" t="n">
        <v>5</v>
      </c>
      <c r="D7" s="5" t="inlineStr">
        <is>
          <t>五月</t>
        </is>
      </c>
      <c r="E7" s="5" t="n">
        <v>5</v>
      </c>
      <c r="F7" s="5" t="inlineStr">
        <is>
          <t>5th month (wu yue)</t>
        </is>
      </c>
      <c r="G7" s="0" t="inlineStr">
        <is>
          <t>regular</t>
        </is>
      </c>
    </row>
    <row r="8" ht="15.75" customHeight="1" s="10">
      <c r="A8" s="1" t="inlineStr">
        <is>
          <t>初六</t>
        </is>
      </c>
      <c r="B8" s="1" t="n">
        <v>6</v>
      </c>
      <c r="D8" s="5" t="inlineStr">
        <is>
          <t>六月</t>
        </is>
      </c>
      <c r="E8" s="5" t="n">
        <v>6</v>
      </c>
      <c r="F8" s="5" t="inlineStr">
        <is>
          <t>6th month (liu yue)</t>
        </is>
      </c>
      <c r="G8" s="0" t="inlineStr">
        <is>
          <t>regular</t>
        </is>
      </c>
    </row>
    <row r="9" ht="15.75" customHeight="1" s="10">
      <c r="A9" s="1" t="inlineStr">
        <is>
          <t>初七</t>
        </is>
      </c>
      <c r="B9" s="1" t="n">
        <v>7</v>
      </c>
      <c r="D9" s="5" t="inlineStr">
        <is>
          <t>七月</t>
        </is>
      </c>
      <c r="E9" s="5" t="n">
        <v>7</v>
      </c>
      <c r="F9" s="5" t="inlineStr">
        <is>
          <t>7th month (qi yue)</t>
        </is>
      </c>
      <c r="G9" s="0" t="inlineStr">
        <is>
          <t>regular</t>
        </is>
      </c>
    </row>
    <row r="10" ht="15.75" customHeight="1" s="10">
      <c r="A10" s="1" t="inlineStr">
        <is>
          <t>初八</t>
        </is>
      </c>
      <c r="B10" s="1" t="n">
        <v>8</v>
      </c>
      <c r="D10" s="5" t="inlineStr">
        <is>
          <t>八月</t>
        </is>
      </c>
      <c r="E10" s="5" t="n">
        <v>8</v>
      </c>
      <c r="F10" s="5" t="inlineStr">
        <is>
          <t>8th month (ba yue)</t>
        </is>
      </c>
      <c r="G10" s="0" t="inlineStr">
        <is>
          <t>regular</t>
        </is>
      </c>
    </row>
    <row r="11" ht="15.75" customHeight="1" s="10">
      <c r="A11" s="1" t="inlineStr">
        <is>
          <t>初九</t>
        </is>
      </c>
      <c r="B11" s="1" t="n">
        <v>9</v>
      </c>
      <c r="D11" s="5" t="inlineStr">
        <is>
          <t>九月</t>
        </is>
      </c>
      <c r="E11" s="5" t="n">
        <v>9</v>
      </c>
      <c r="F11" s="5" t="inlineStr">
        <is>
          <t>9th month (jiu yue)</t>
        </is>
      </c>
      <c r="G11" s="0" t="inlineStr">
        <is>
          <t>regular</t>
        </is>
      </c>
    </row>
    <row r="12" ht="15.75" customHeight="1" s="10">
      <c r="A12" s="1" t="inlineStr">
        <is>
          <t>初十</t>
        </is>
      </c>
      <c r="B12" s="1" t="n">
        <v>10</v>
      </c>
      <c r="D12" s="5" t="inlineStr">
        <is>
          <t>十月</t>
        </is>
      </c>
      <c r="E12" s="5" t="n">
        <v>10</v>
      </c>
      <c r="F12" s="5" t="inlineStr">
        <is>
          <t>10th month (shi yue)</t>
        </is>
      </c>
      <c r="G12" s="0" t="inlineStr">
        <is>
          <t>regular</t>
        </is>
      </c>
    </row>
    <row r="13" ht="15.75" customHeight="1" s="10">
      <c r="A13" s="1" t="inlineStr">
        <is>
          <t>十一</t>
        </is>
      </c>
      <c r="B13" s="1" t="n">
        <v>11</v>
      </c>
      <c r="D13" s="5" t="inlineStr">
        <is>
          <t>十一月</t>
        </is>
      </c>
      <c r="E13" s="5" t="n">
        <v>11</v>
      </c>
      <c r="F13" s="5" t="inlineStr">
        <is>
          <t>11th month (shiyi yue)</t>
        </is>
      </c>
      <c r="G13" s="0" t="inlineStr">
        <is>
          <t>regular</t>
        </is>
      </c>
    </row>
    <row r="14" ht="15.75" customHeight="1" s="10">
      <c r="A14" s="1" t="inlineStr">
        <is>
          <t>十二</t>
        </is>
      </c>
      <c r="B14" s="1" t="n">
        <v>12</v>
      </c>
      <c r="D14" s="5" t="inlineStr">
        <is>
          <t>十二月</t>
        </is>
      </c>
      <c r="E14" s="5" t="n">
        <v>12</v>
      </c>
      <c r="F14" s="5" t="inlineStr">
        <is>
          <t>12th month (shier yue)</t>
        </is>
      </c>
      <c r="G14" s="0" t="inlineStr">
        <is>
          <t>regular</t>
        </is>
      </c>
    </row>
    <row r="15" ht="15.75" customHeight="1" s="10">
      <c r="A15" s="1" t="inlineStr">
        <is>
          <t>十三</t>
        </is>
      </c>
      <c r="B15" s="1" t="n">
        <v>13</v>
      </c>
      <c r="D15" s="0" t="inlineStr">
        <is>
          <t>閏正月</t>
        </is>
      </c>
      <c r="E15" s="0" t="n">
        <v>1</v>
      </c>
      <c r="F15" s="7" t="inlineStr">
        <is>
          <t>leap 1st month (run zheng yue) - counts as month 1</t>
        </is>
      </c>
      <c r="G15" s="0" t="inlineStr">
        <is>
          <t>LEAP</t>
        </is>
      </c>
    </row>
    <row r="16" ht="15.75" customHeight="1" s="10">
      <c r="A16" s="1" t="inlineStr">
        <is>
          <t>十四</t>
        </is>
      </c>
      <c r="B16" s="1" t="n">
        <v>14</v>
      </c>
      <c r="D16" s="0" t="inlineStr">
        <is>
          <t>閏二月</t>
        </is>
      </c>
      <c r="E16" s="0" t="n">
        <v>2</v>
      </c>
      <c r="F16" s="7" t="inlineStr">
        <is>
          <t>leap 2nd month (run er yue) - counts as month 2</t>
        </is>
      </c>
      <c r="G16" s="0" t="inlineStr">
        <is>
          <t>LEAP</t>
        </is>
      </c>
    </row>
    <row r="17" ht="15.75" customHeight="1" s="10">
      <c r="A17" s="1" t="inlineStr">
        <is>
          <t>十五</t>
        </is>
      </c>
      <c r="B17" s="1" t="n">
        <v>15</v>
      </c>
      <c r="D17" s="0" t="inlineStr">
        <is>
          <t>閏三月</t>
        </is>
      </c>
      <c r="E17" s="0" t="n">
        <v>3</v>
      </c>
      <c r="F17" s="7" t="inlineStr">
        <is>
          <t>leap 3rd month (run san yue) - counts as month 3</t>
        </is>
      </c>
      <c r="G17" s="0" t="inlineStr">
        <is>
          <t>LEAP</t>
        </is>
      </c>
    </row>
    <row r="18" ht="15.75" customHeight="1" s="10">
      <c r="A18" s="1" t="inlineStr">
        <is>
          <t>十六</t>
        </is>
      </c>
      <c r="B18" s="1" t="n">
        <v>16</v>
      </c>
      <c r="D18" s="0" t="inlineStr">
        <is>
          <t>閏四月</t>
        </is>
      </c>
      <c r="E18" s="0" t="n">
        <v>4</v>
      </c>
      <c r="F18" s="7" t="inlineStr">
        <is>
          <t>leap 4th month (run si yue) - counts as month 4</t>
        </is>
      </c>
      <c r="G18" s="0" t="inlineStr">
        <is>
          <t>LEAP</t>
        </is>
      </c>
    </row>
    <row r="19" ht="15.75" customHeight="1" s="10">
      <c r="A19" s="1" t="inlineStr">
        <is>
          <t>十七</t>
        </is>
      </c>
      <c r="B19" s="1" t="n">
        <v>17</v>
      </c>
      <c r="D19" s="0" t="inlineStr">
        <is>
          <t>閏五月</t>
        </is>
      </c>
      <c r="E19" s="0" t="n">
        <v>5</v>
      </c>
      <c r="F19" s="7" t="inlineStr">
        <is>
          <t>leap 5th month (run wu yue) - counts as month 5</t>
        </is>
      </c>
      <c r="G19" s="0" t="inlineStr">
        <is>
          <t>LEAP</t>
        </is>
      </c>
    </row>
    <row r="20" ht="15.75" customHeight="1" s="10">
      <c r="A20" s="1" t="inlineStr">
        <is>
          <t>十八</t>
        </is>
      </c>
      <c r="B20" s="1" t="n">
        <v>18</v>
      </c>
      <c r="D20" s="0" t="inlineStr">
        <is>
          <t>閏六月</t>
        </is>
      </c>
      <c r="E20" s="0" t="n">
        <v>6</v>
      </c>
      <c r="F20" s="7" t="inlineStr">
        <is>
          <t>leap 6th month (run liu yue) - counts as month 6</t>
        </is>
      </c>
      <c r="G20" s="0" t="inlineStr">
        <is>
          <t>LEAP</t>
        </is>
      </c>
    </row>
    <row r="21" ht="15.75" customHeight="1" s="10">
      <c r="A21" s="1" t="inlineStr">
        <is>
          <t>十九</t>
        </is>
      </c>
      <c r="B21" s="1" t="n">
        <v>19</v>
      </c>
      <c r="D21" s="0" t="inlineStr">
        <is>
          <t>閏七月</t>
        </is>
      </c>
      <c r="E21" s="0" t="n">
        <v>7</v>
      </c>
      <c r="F21" s="7" t="inlineStr">
        <is>
          <t>leap 7th month (run qi yue) - counts as month 7</t>
        </is>
      </c>
      <c r="G21" s="0" t="inlineStr">
        <is>
          <t>LEAP</t>
        </is>
      </c>
    </row>
    <row r="22" ht="15.75" customHeight="1" s="10">
      <c r="A22" s="1" t="inlineStr">
        <is>
          <t>二十</t>
        </is>
      </c>
      <c r="B22" s="1" t="n">
        <v>20</v>
      </c>
      <c r="D22" s="0" t="inlineStr">
        <is>
          <t>閏八月</t>
        </is>
      </c>
      <c r="E22" s="0" t="n">
        <v>8</v>
      </c>
      <c r="F22" s="7" t="inlineStr">
        <is>
          <t>leap 8th month (run ba yue) - counts as month 8</t>
        </is>
      </c>
      <c r="G22" s="0" t="inlineStr">
        <is>
          <t>LEAP</t>
        </is>
      </c>
    </row>
    <row r="23" ht="15.75" customHeight="1" s="10">
      <c r="A23" s="1" t="inlineStr">
        <is>
          <t>廿一</t>
        </is>
      </c>
      <c r="B23" s="1" t="n">
        <v>21</v>
      </c>
      <c r="D23" s="0" t="inlineStr">
        <is>
          <t>閏九月</t>
        </is>
      </c>
      <c r="E23" s="0" t="n">
        <v>9</v>
      </c>
      <c r="F23" s="7" t="inlineStr">
        <is>
          <t>leap 9th month (run jiu yue) - counts as month 9</t>
        </is>
      </c>
      <c r="G23" s="0" t="inlineStr">
        <is>
          <t>LEAP</t>
        </is>
      </c>
    </row>
    <row r="24" ht="15.75" customHeight="1" s="10">
      <c r="A24" s="1" t="inlineStr">
        <is>
          <t>廿二</t>
        </is>
      </c>
      <c r="B24" s="1" t="n">
        <v>22</v>
      </c>
      <c r="D24" s="0" t="inlineStr">
        <is>
          <t>閏十月</t>
        </is>
      </c>
      <c r="E24" s="0" t="n">
        <v>10</v>
      </c>
      <c r="F24" s="7" t="inlineStr">
        <is>
          <t>leap 10th month (run shi yue) - counts as month 10</t>
        </is>
      </c>
      <c r="G24" s="0" t="inlineStr">
        <is>
          <t>LEAP</t>
        </is>
      </c>
    </row>
    <row r="25" ht="15.75" customHeight="1" s="10">
      <c r="A25" s="1" t="inlineStr">
        <is>
          <t>廿三</t>
        </is>
      </c>
      <c r="B25" s="1" t="n">
        <v>23</v>
      </c>
      <c r="D25" s="0" t="inlineStr">
        <is>
          <t>閏十一月</t>
        </is>
      </c>
      <c r="E25" s="0" t="n">
        <v>11</v>
      </c>
      <c r="F25" s="7" t="inlineStr">
        <is>
          <t>leap 11th month (run shiyi yue) - counts as month 11</t>
        </is>
      </c>
      <c r="G25" s="0" t="inlineStr">
        <is>
          <t>LEAP</t>
        </is>
      </c>
    </row>
    <row r="26" ht="15.75" customHeight="1" s="10">
      <c r="A26" s="1" t="inlineStr">
        <is>
          <t>廿四</t>
        </is>
      </c>
      <c r="B26" s="1" t="n">
        <v>24</v>
      </c>
      <c r="D26" s="0" t="inlineStr">
        <is>
          <t>閏十二月</t>
        </is>
      </c>
      <c r="E26" s="0" t="n">
        <v>12</v>
      </c>
      <c r="F26" s="7" t="inlineStr">
        <is>
          <t>leap 12th month (run shier yue) - counts as month 12</t>
        </is>
      </c>
      <c r="G26" s="0" t="inlineStr">
        <is>
          <t>LEAP</t>
        </is>
      </c>
    </row>
    <row r="27" ht="15.75" customHeight="1" s="10">
      <c r="A27" s="1" t="inlineStr">
        <is>
          <t>廿五</t>
        </is>
      </c>
      <c r="B27" s="1" t="n">
        <v>25</v>
      </c>
      <c r="F27" s="7" t="n"/>
    </row>
    <row r="28" ht="15.75" customHeight="1" s="10">
      <c r="A28" s="1" t="inlineStr">
        <is>
          <t>廿六</t>
        </is>
      </c>
      <c r="B28" s="1" t="n">
        <v>26</v>
      </c>
      <c r="F28" s="7" t="n"/>
    </row>
    <row r="29" ht="15.75" customHeight="1" s="10">
      <c r="A29" s="1" t="inlineStr">
        <is>
          <t>廿七</t>
        </is>
      </c>
      <c r="B29" s="1" t="n">
        <v>27</v>
      </c>
      <c r="F29" s="7" t="n"/>
    </row>
    <row r="30" ht="15.75" customHeight="1" s="10">
      <c r="A30" s="1" t="inlineStr">
        <is>
          <t>廿八</t>
        </is>
      </c>
      <c r="B30" s="1" t="n">
        <v>28</v>
      </c>
      <c r="F30" s="7" t="n"/>
    </row>
    <row r="31" ht="15.75" customHeight="1" s="10">
      <c r="A31" s="1" t="inlineStr">
        <is>
          <t>廿九</t>
        </is>
      </c>
      <c r="B31" s="1" t="n">
        <v>29</v>
      </c>
      <c r="F31" s="7" t="n"/>
    </row>
    <row r="32" ht="15.75" customHeight="1" s="10">
      <c r="A32" s="1" t="inlineStr">
        <is>
          <t>三 十</t>
        </is>
      </c>
      <c r="B32" s="1" t="n">
        <v>30</v>
      </c>
      <c r="F32" s="7" t="n"/>
    </row>
    <row r="33" ht="15.75" customHeight="1" s="10">
      <c r="F33" s="7" t="n"/>
    </row>
    <row r="34" ht="15.75" customHeight="1" s="10">
      <c r="F34" s="7" t="n"/>
    </row>
    <row r="35" ht="15.75" customHeight="1" s="10">
      <c r="F35" s="7" t="n"/>
    </row>
    <row r="36" ht="15.75" customHeight="1" s="10">
      <c r="F36" s="7" t="n"/>
    </row>
    <row r="37" ht="15.75" customHeight="1" s="10">
      <c r="F37" s="7" t="n"/>
    </row>
    <row r="38" ht="15.75" customHeight="1" s="10">
      <c r="F38" s="7" t="n"/>
    </row>
    <row r="39" ht="15.75" customHeight="1" s="10">
      <c r="F39" s="7" t="n"/>
    </row>
    <row r="40" ht="15.75" customHeight="1" s="10">
      <c r="F40" s="7" t="n"/>
    </row>
    <row r="41" ht="15.75" customHeight="1" s="10">
      <c r="F41" s="7" t="n"/>
    </row>
    <row r="42" ht="15.75" customHeight="1" s="10">
      <c r="F42" s="7" t="n"/>
    </row>
    <row r="43" ht="15.75" customHeight="1" s="10">
      <c r="F43" s="7" t="n"/>
    </row>
    <row r="44" ht="15.75" customHeight="1" s="10">
      <c r="F44" s="7" t="n"/>
    </row>
    <row r="45" ht="15.75" customHeight="1" s="10">
      <c r="F45" s="7" t="n"/>
    </row>
    <row r="46" ht="15.75" customHeight="1" s="10">
      <c r="F46" s="7" t="n"/>
    </row>
    <row r="47" ht="15.75" customHeight="1" s="10">
      <c r="F47" s="7" t="n"/>
    </row>
    <row r="48" ht="15.75" customHeight="1" s="10">
      <c r="F48" s="7" t="n"/>
    </row>
    <row r="49" ht="15.75" customHeight="1" s="10">
      <c r="F49" s="7" t="n"/>
    </row>
    <row r="50" ht="15.75" customHeight="1" s="10">
      <c r="F50" s="7" t="n"/>
    </row>
    <row r="51" ht="15.75" customHeight="1" s="10">
      <c r="F51" s="7" t="n"/>
    </row>
    <row r="52" ht="15.75" customHeight="1" s="10">
      <c r="F52" s="7" t="n"/>
    </row>
    <row r="53" ht="15.75" customHeight="1" s="10">
      <c r="F53" s="7" t="n"/>
    </row>
    <row r="54" ht="15.75" customHeight="1" s="10">
      <c r="F54" s="7" t="n"/>
    </row>
    <row r="55" ht="15.75" customHeight="1" s="10">
      <c r="F55" s="7" t="n"/>
    </row>
    <row r="56" ht="15.75" customHeight="1" s="10">
      <c r="F56" s="7" t="n"/>
    </row>
    <row r="57" ht="15.75" customHeight="1" s="10">
      <c r="F57" s="7" t="n"/>
    </row>
    <row r="58" ht="15.75" customHeight="1" s="10">
      <c r="F58" s="7" t="n"/>
    </row>
    <row r="59" ht="15.75" customHeight="1" s="10">
      <c r="F59" s="7" t="n"/>
    </row>
    <row r="60" ht="15.75" customHeight="1" s="10">
      <c r="F60" s="7" t="n"/>
    </row>
    <row r="61" ht="15.75" customHeight="1" s="10">
      <c r="F61" s="7" t="n"/>
    </row>
    <row r="62" ht="15.75" customHeight="1" s="10">
      <c r="F62" s="7" t="n"/>
    </row>
    <row r="63" ht="15.75" customHeight="1" s="10">
      <c r="F63" s="7" t="n"/>
    </row>
    <row r="64" ht="15.75" customHeight="1" s="10">
      <c r="F64" s="7" t="n"/>
    </row>
    <row r="65" ht="15.75" customHeight="1" s="10">
      <c r="F65" s="7" t="n"/>
    </row>
    <row r="66" ht="15.75" customHeight="1" s="10">
      <c r="F66" s="7" t="n"/>
    </row>
    <row r="67" ht="15.75" customHeight="1" s="10">
      <c r="F67" s="7" t="n"/>
    </row>
    <row r="68" ht="15.75" customHeight="1" s="10">
      <c r="F68" s="7" t="n"/>
    </row>
    <row r="69" ht="15.75" customHeight="1" s="10">
      <c r="F69" s="7" t="n"/>
    </row>
    <row r="70" ht="15.75" customHeight="1" s="10">
      <c r="F70" s="7" t="n"/>
    </row>
    <row r="71" ht="15.75" customHeight="1" s="10">
      <c r="F71" s="7" t="n"/>
    </row>
    <row r="72" ht="15.75" customHeight="1" s="10">
      <c r="F72" s="7" t="n"/>
    </row>
    <row r="73" ht="15.75" customHeight="1" s="10">
      <c r="F73" s="7" t="n"/>
    </row>
    <row r="74" ht="15.75" customHeight="1" s="10">
      <c r="F74" s="7" t="n"/>
    </row>
    <row r="75" ht="15.75" customHeight="1" s="10">
      <c r="F75" s="7" t="n"/>
    </row>
    <row r="76" ht="15.75" customHeight="1" s="10">
      <c r="F76" s="7" t="n"/>
    </row>
    <row r="77" ht="15.75" customHeight="1" s="10">
      <c r="F77" s="7" t="n"/>
    </row>
    <row r="78" ht="15.75" customHeight="1" s="10">
      <c r="F78" s="7" t="n"/>
    </row>
    <row r="79" ht="15.75" customHeight="1" s="10">
      <c r="F79" s="7" t="n"/>
    </row>
    <row r="80" ht="15.75" customHeight="1" s="10">
      <c r="F80" s="7" t="n"/>
    </row>
    <row r="81" ht="15.75" customHeight="1" s="10">
      <c r="F81" s="7" t="n"/>
    </row>
    <row r="82" ht="15.75" customHeight="1" s="10">
      <c r="F82" s="7" t="n"/>
    </row>
    <row r="83" ht="15.75" customHeight="1" s="10">
      <c r="F83" s="7" t="n"/>
    </row>
    <row r="84" ht="15.75" customHeight="1" s="10">
      <c r="F84" s="7" t="n"/>
    </row>
    <row r="85" ht="15.75" customHeight="1" s="10">
      <c r="F85" s="7" t="n"/>
    </row>
    <row r="86" ht="15.75" customHeight="1" s="10">
      <c r="F86" s="7" t="n"/>
    </row>
    <row r="87" ht="15.75" customHeight="1" s="10">
      <c r="F87" s="7" t="n"/>
    </row>
    <row r="88" ht="15.75" customHeight="1" s="10">
      <c r="F88" s="7" t="n"/>
    </row>
    <row r="89" ht="15.75" customHeight="1" s="10">
      <c r="F89" s="7" t="n"/>
    </row>
    <row r="90" ht="15.75" customHeight="1" s="10">
      <c r="F90" s="7" t="n"/>
    </row>
    <row r="91" ht="15.75" customHeight="1" s="10">
      <c r="F91" s="7" t="n"/>
    </row>
    <row r="92" ht="15.75" customHeight="1" s="10">
      <c r="F92" s="7" t="n"/>
    </row>
    <row r="93" ht="15.75" customHeight="1" s="10">
      <c r="F93" s="7" t="n"/>
    </row>
    <row r="94" ht="15.75" customHeight="1" s="10">
      <c r="F94" s="7" t="n"/>
    </row>
    <row r="95" ht="15.75" customHeight="1" s="10">
      <c r="F95" s="7" t="n"/>
    </row>
    <row r="96" ht="15.75" customHeight="1" s="10">
      <c r="F96" s="7" t="n"/>
    </row>
    <row r="97" ht="15.75" customHeight="1" s="10">
      <c r="F97" s="7" t="n"/>
    </row>
    <row r="98" ht="15.75" customHeight="1" s="10">
      <c r="F98" s="7" t="n"/>
    </row>
    <row r="99" ht="15.75" customHeight="1" s="10">
      <c r="F99" s="7" t="n"/>
    </row>
    <row r="100" ht="15.75" customHeight="1" s="10">
      <c r="F100" s="7" t="n"/>
    </row>
    <row r="101" ht="15.75" customHeight="1" s="10">
      <c r="F101" s="7" t="n"/>
    </row>
    <row r="102" ht="15.75" customHeight="1" s="10">
      <c r="F102" s="7" t="n"/>
    </row>
    <row r="103" ht="15.75" customHeight="1" s="10">
      <c r="F103" s="7" t="n"/>
    </row>
    <row r="104" ht="15.75" customHeight="1" s="10">
      <c r="F104" s="7" t="n"/>
    </row>
    <row r="105" ht="15.75" customHeight="1" s="10">
      <c r="F105" s="7" t="n"/>
    </row>
    <row r="106" ht="15.75" customHeight="1" s="10">
      <c r="F106" s="7" t="n"/>
    </row>
    <row r="107" ht="15.75" customHeight="1" s="10">
      <c r="F107" s="7" t="n"/>
    </row>
    <row r="108" ht="15.75" customHeight="1" s="10">
      <c r="F108" s="7" t="n"/>
    </row>
    <row r="109" ht="15.75" customHeight="1" s="10">
      <c r="F109" s="7" t="n"/>
    </row>
    <row r="110" ht="15.75" customHeight="1" s="10">
      <c r="F110" s="7" t="n"/>
    </row>
    <row r="111" ht="15.75" customHeight="1" s="10">
      <c r="F111" s="7" t="n"/>
    </row>
    <row r="112" ht="15.75" customHeight="1" s="10">
      <c r="F112" s="7" t="n"/>
    </row>
    <row r="113" ht="15.75" customHeight="1" s="10">
      <c r="F113" s="7" t="n"/>
    </row>
    <row r="114" ht="15.75" customHeight="1" s="10">
      <c r="F114" s="7" t="n"/>
    </row>
    <row r="115" ht="15.75" customHeight="1" s="10">
      <c r="F115" s="7" t="n"/>
    </row>
    <row r="116" ht="15.75" customHeight="1" s="10">
      <c r="F116" s="7" t="n"/>
    </row>
    <row r="117" ht="15.75" customHeight="1" s="10">
      <c r="F117" s="7" t="n"/>
    </row>
    <row r="118" ht="15.75" customHeight="1" s="10">
      <c r="F118" s="7" t="n"/>
    </row>
    <row r="119" ht="15.75" customHeight="1" s="10">
      <c r="F119" s="7" t="n"/>
    </row>
    <row r="120" ht="15.75" customHeight="1" s="10">
      <c r="F120" s="7" t="n"/>
    </row>
    <row r="121" ht="15.75" customHeight="1" s="10">
      <c r="F121" s="7" t="n"/>
    </row>
    <row r="122" ht="15.75" customHeight="1" s="10">
      <c r="F122" s="7" t="n"/>
    </row>
    <row r="123" ht="15.75" customHeight="1" s="10">
      <c r="F123" s="7" t="n"/>
    </row>
    <row r="124" ht="15.75" customHeight="1" s="10">
      <c r="F124" s="7" t="n"/>
    </row>
    <row r="125" ht="15.75" customHeight="1" s="10">
      <c r="F125" s="7" t="n"/>
    </row>
    <row r="126" ht="15.75" customHeight="1" s="10">
      <c r="F126" s="7" t="n"/>
    </row>
    <row r="127" ht="15.75" customHeight="1" s="10">
      <c r="F127" s="7" t="n"/>
    </row>
    <row r="128" ht="15.75" customHeight="1" s="10">
      <c r="F128" s="7" t="n"/>
    </row>
    <row r="129" ht="15.75" customHeight="1" s="10">
      <c r="F129" s="7" t="n"/>
    </row>
    <row r="130" ht="15.75" customHeight="1" s="10">
      <c r="F130" s="7" t="n"/>
    </row>
    <row r="131" ht="15.75" customHeight="1" s="10">
      <c r="F131" s="7" t="n"/>
    </row>
    <row r="132" ht="15.75" customHeight="1" s="10">
      <c r="F132" s="7" t="n"/>
    </row>
    <row r="133" ht="15.75" customHeight="1" s="10">
      <c r="F133" s="7" t="n"/>
    </row>
    <row r="134" ht="15.75" customHeight="1" s="10">
      <c r="F134" s="7" t="n"/>
    </row>
    <row r="135" ht="15.75" customHeight="1" s="10">
      <c r="F135" s="7" t="n"/>
    </row>
    <row r="136" ht="15.75" customHeight="1" s="10">
      <c r="F136" s="7" t="n"/>
    </row>
    <row r="137" ht="15.75" customHeight="1" s="10">
      <c r="F137" s="7" t="n"/>
    </row>
    <row r="138" ht="15.75" customHeight="1" s="10">
      <c r="F138" s="7" t="n"/>
    </row>
    <row r="139" ht="15.75" customHeight="1" s="10">
      <c r="F139" s="7" t="n"/>
    </row>
    <row r="140" ht="15.75" customHeight="1" s="10">
      <c r="F140" s="7" t="n"/>
    </row>
    <row r="141" ht="15.75" customHeight="1" s="10">
      <c r="F141" s="7" t="n"/>
    </row>
    <row r="142" ht="15.75" customHeight="1" s="10">
      <c r="F142" s="7" t="n"/>
    </row>
    <row r="143" ht="15.75" customHeight="1" s="10">
      <c r="F143" s="7" t="n"/>
    </row>
    <row r="144" ht="15.75" customHeight="1" s="10">
      <c r="F144" s="7" t="n"/>
    </row>
    <row r="145" ht="15.75" customHeight="1" s="10">
      <c r="F145" s="7" t="n"/>
    </row>
    <row r="146" ht="15.75" customHeight="1" s="10">
      <c r="F146" s="7" t="n"/>
    </row>
    <row r="147" ht="15.75" customHeight="1" s="10">
      <c r="F147" s="7" t="n"/>
    </row>
    <row r="148" ht="15.75" customHeight="1" s="10">
      <c r="F148" s="7" t="n"/>
    </row>
    <row r="149" ht="15.75" customHeight="1" s="10">
      <c r="F149" s="7" t="n"/>
    </row>
    <row r="150" ht="15.75" customHeight="1" s="10">
      <c r="F150" s="7" t="n"/>
    </row>
    <row r="151" ht="15.75" customHeight="1" s="10">
      <c r="F151" s="7" t="n"/>
    </row>
    <row r="152" ht="15.75" customHeight="1" s="10">
      <c r="F152" s="7" t="n"/>
    </row>
    <row r="153" ht="15.75" customHeight="1" s="10">
      <c r="F153" s="7" t="n"/>
    </row>
    <row r="154" ht="15.75" customHeight="1" s="10">
      <c r="F154" s="7" t="n"/>
    </row>
    <row r="155" ht="15.75" customHeight="1" s="10">
      <c r="F155" s="7" t="n"/>
    </row>
    <row r="156" ht="15.75" customHeight="1" s="10">
      <c r="F156" s="7" t="n"/>
    </row>
    <row r="157" ht="15.75" customHeight="1" s="10">
      <c r="F157" s="7" t="n"/>
    </row>
    <row r="158" ht="15.75" customHeight="1" s="10">
      <c r="F158" s="7" t="n"/>
    </row>
    <row r="159" ht="15.75" customHeight="1" s="10">
      <c r="F159" s="7" t="n"/>
    </row>
    <row r="160" ht="15.75" customHeight="1" s="10">
      <c r="F160" s="7" t="n"/>
    </row>
    <row r="161" ht="15.75" customHeight="1" s="10">
      <c r="F161" s="7" t="n"/>
    </row>
    <row r="162" ht="15.75" customHeight="1" s="10">
      <c r="F162" s="7" t="n"/>
    </row>
    <row r="163" ht="15.75" customHeight="1" s="10">
      <c r="F163" s="7" t="n"/>
    </row>
    <row r="164" ht="15.75" customHeight="1" s="10">
      <c r="F164" s="7" t="n"/>
    </row>
    <row r="165" ht="15.75" customHeight="1" s="10">
      <c r="F165" s="7" t="n"/>
    </row>
    <row r="166" ht="15.75" customHeight="1" s="10">
      <c r="F166" s="7" t="n"/>
    </row>
    <row r="167" ht="15.75" customHeight="1" s="10">
      <c r="F167" s="7" t="n"/>
    </row>
    <row r="168" ht="15.75" customHeight="1" s="10">
      <c r="F168" s="7" t="n"/>
    </row>
    <row r="169" ht="15.75" customHeight="1" s="10">
      <c r="F169" s="7" t="n"/>
    </row>
    <row r="170" ht="15.75" customHeight="1" s="10">
      <c r="F170" s="7" t="n"/>
    </row>
    <row r="171" ht="15.75" customHeight="1" s="10">
      <c r="F171" s="7" t="n"/>
    </row>
    <row r="172" ht="15.75" customHeight="1" s="10">
      <c r="F172" s="7" t="n"/>
    </row>
    <row r="173" ht="15.75" customHeight="1" s="10">
      <c r="F173" s="7" t="n"/>
    </row>
    <row r="174" ht="15.75" customHeight="1" s="10">
      <c r="F174" s="7" t="n"/>
    </row>
    <row r="175" ht="15.75" customHeight="1" s="10">
      <c r="F175" s="7" t="n"/>
    </row>
    <row r="176" ht="15.75" customHeight="1" s="10">
      <c r="F176" s="7" t="n"/>
    </row>
    <row r="177" ht="15.75" customHeight="1" s="10">
      <c r="F177" s="7" t="n"/>
    </row>
    <row r="178" ht="15.75" customHeight="1" s="10">
      <c r="F178" s="7" t="n"/>
    </row>
    <row r="179" ht="15.75" customHeight="1" s="10">
      <c r="F179" s="7" t="n"/>
    </row>
    <row r="180" ht="15.75" customHeight="1" s="10">
      <c r="F180" s="7" t="n"/>
    </row>
    <row r="181" ht="15.75" customHeight="1" s="10">
      <c r="F181" s="7" t="n"/>
    </row>
    <row r="182" ht="15.75" customHeight="1" s="10">
      <c r="F182" s="7" t="n"/>
    </row>
    <row r="183" ht="15.75" customHeight="1" s="10">
      <c r="F183" s="7" t="n"/>
    </row>
    <row r="184" ht="15.75" customHeight="1" s="10">
      <c r="F184" s="7" t="n"/>
    </row>
    <row r="185" ht="15.75" customHeight="1" s="10">
      <c r="F185" s="7" t="n"/>
    </row>
    <row r="186" ht="15.75" customHeight="1" s="10">
      <c r="F186" s="7" t="n"/>
    </row>
    <row r="187" ht="15.75" customHeight="1" s="10">
      <c r="F187" s="7" t="n"/>
    </row>
    <row r="188" ht="15.75" customHeight="1" s="10">
      <c r="F188" s="7" t="n"/>
    </row>
    <row r="189" ht="15.75" customHeight="1" s="10">
      <c r="F189" s="7" t="n"/>
    </row>
    <row r="190" ht="15.75" customHeight="1" s="10">
      <c r="F190" s="7" t="n"/>
    </row>
    <row r="191" ht="15.75" customHeight="1" s="10">
      <c r="F191" s="7" t="n"/>
    </row>
    <row r="192" ht="15.75" customHeight="1" s="10">
      <c r="F192" s="7" t="n"/>
    </row>
    <row r="193" ht="15.75" customHeight="1" s="10">
      <c r="F193" s="7" t="n"/>
    </row>
    <row r="194" ht="15.75" customHeight="1" s="10">
      <c r="F194" s="7" t="n"/>
    </row>
    <row r="195" ht="15.75" customHeight="1" s="10">
      <c r="F195" s="7" t="n"/>
    </row>
    <row r="196" ht="15.75" customHeight="1" s="10">
      <c r="F196" s="7" t="n"/>
    </row>
    <row r="197" ht="15.75" customHeight="1" s="10">
      <c r="F197" s="7" t="n"/>
    </row>
    <row r="198" ht="15.75" customHeight="1" s="10">
      <c r="F198" s="7" t="n"/>
    </row>
    <row r="199" ht="15.75" customHeight="1" s="10">
      <c r="F199" s="7" t="n"/>
    </row>
    <row r="200" ht="15.75" customHeight="1" s="10">
      <c r="F200" s="7" t="n"/>
    </row>
    <row r="201" ht="15.75" customHeight="1" s="10">
      <c r="F201" s="7" t="n"/>
    </row>
    <row r="202" ht="15.75" customHeight="1" s="10">
      <c r="F202" s="7" t="n"/>
    </row>
    <row r="203" ht="15.75" customHeight="1" s="10">
      <c r="F203" s="7" t="n"/>
    </row>
    <row r="204" ht="15.75" customHeight="1" s="10">
      <c r="F204" s="7" t="n"/>
    </row>
    <row r="205" ht="15.75" customHeight="1" s="10">
      <c r="F205" s="7" t="n"/>
    </row>
    <row r="206" ht="15.75" customHeight="1" s="10">
      <c r="F206" s="7" t="n"/>
    </row>
    <row r="207" ht="15.75" customHeight="1" s="10">
      <c r="F207" s="7" t="n"/>
    </row>
    <row r="208" ht="15.75" customHeight="1" s="10">
      <c r="F208" s="7" t="n"/>
    </row>
    <row r="209" ht="15.75" customHeight="1" s="10">
      <c r="F209" s="7" t="n"/>
    </row>
    <row r="210" ht="15.75" customHeight="1" s="10">
      <c r="F210" s="7" t="n"/>
    </row>
    <row r="211" ht="15.75" customHeight="1" s="10">
      <c r="F211" s="7" t="n"/>
    </row>
    <row r="212" ht="15.75" customHeight="1" s="10">
      <c r="F212" s="7" t="n"/>
    </row>
    <row r="213" ht="15.75" customHeight="1" s="10">
      <c r="F213" s="7" t="n"/>
    </row>
    <row r="214" ht="15.75" customHeight="1" s="10">
      <c r="F214" s="7" t="n"/>
    </row>
    <row r="215" ht="15.75" customHeight="1" s="10">
      <c r="F215" s="7" t="n"/>
    </row>
    <row r="216" ht="15.75" customHeight="1" s="10">
      <c r="F216" s="7" t="n"/>
    </row>
    <row r="217" ht="15.75" customHeight="1" s="10">
      <c r="F217" s="7" t="n"/>
    </row>
    <row r="218" ht="15.75" customHeight="1" s="10">
      <c r="F218" s="7" t="n"/>
    </row>
    <row r="219" ht="15.75" customHeight="1" s="10">
      <c r="F219" s="7" t="n"/>
    </row>
    <row r="220" ht="15.75" customHeight="1" s="10">
      <c r="F220" s="7" t="n"/>
    </row>
    <row r="221" ht="15.75" customHeight="1" s="10">
      <c r="F221" s="7" t="n"/>
    </row>
    <row r="222" ht="15.75" customHeight="1" s="10">
      <c r="F222" s="7" t="n"/>
    </row>
    <row r="223" ht="15.75" customHeight="1" s="10">
      <c r="F223" s="7" t="n"/>
    </row>
    <row r="224" ht="15.75" customHeight="1" s="10">
      <c r="F224" s="7" t="n"/>
    </row>
    <row r="225" ht="15.75" customHeight="1" s="10">
      <c r="F225" s="7" t="n"/>
    </row>
    <row r="226" ht="15.75" customHeight="1" s="10">
      <c r="F226" s="7" t="n"/>
    </row>
    <row r="227" ht="15.75" customHeight="1" s="10">
      <c r="F227" s="7" t="n"/>
    </row>
    <row r="228" ht="15.75" customHeight="1" s="10">
      <c r="F228" s="7" t="n"/>
    </row>
    <row r="229" ht="15.75" customHeight="1" s="10">
      <c r="F229" s="7" t="n"/>
    </row>
    <row r="230" ht="15.75" customHeight="1" s="10">
      <c r="F230" s="7" t="n"/>
    </row>
    <row r="231" ht="15.75" customHeight="1" s="10">
      <c r="F231" s="7" t="n"/>
    </row>
    <row r="232" ht="15.75" customHeight="1" s="10">
      <c r="F232" s="7" t="n"/>
    </row>
    <row r="233" ht="15.75" customHeight="1" s="10">
      <c r="F233" s="7" t="n"/>
    </row>
    <row r="234" ht="15.75" customHeight="1" s="10">
      <c r="F234" s="7" t="n"/>
    </row>
    <row r="235" ht="15.75" customHeight="1" s="10">
      <c r="F235" s="7" t="n"/>
    </row>
    <row r="236" ht="15.75" customHeight="1" s="10">
      <c r="F236" s="7" t="n"/>
    </row>
    <row r="237" ht="15.75" customHeight="1" s="10">
      <c r="F237" s="7" t="n"/>
    </row>
    <row r="238" ht="15.75" customHeight="1" s="10">
      <c r="F238" s="7" t="n"/>
    </row>
    <row r="239" ht="15.75" customHeight="1" s="10">
      <c r="F239" s="7" t="n"/>
    </row>
    <row r="240" ht="15.75" customHeight="1" s="10">
      <c r="F240" s="7" t="n"/>
    </row>
    <row r="241" ht="15.75" customHeight="1" s="10">
      <c r="F241" s="7" t="n"/>
    </row>
    <row r="242" ht="15.75" customHeight="1" s="10">
      <c r="F242" s="7" t="n"/>
    </row>
    <row r="243" ht="15.75" customHeight="1" s="10">
      <c r="F243" s="7" t="n"/>
    </row>
    <row r="244" ht="15.75" customHeight="1" s="10">
      <c r="F244" s="7" t="n"/>
    </row>
    <row r="245" ht="15.75" customHeight="1" s="10">
      <c r="F245" s="7" t="n"/>
    </row>
    <row r="246" ht="15.75" customHeight="1" s="10">
      <c r="F246" s="7" t="n"/>
    </row>
    <row r="247" ht="15.75" customHeight="1" s="10">
      <c r="F247" s="7" t="n"/>
    </row>
    <row r="248" ht="15.75" customHeight="1" s="10">
      <c r="F248" s="7" t="n"/>
    </row>
    <row r="249" ht="15.75" customHeight="1" s="10">
      <c r="F249" s="7" t="n"/>
    </row>
    <row r="250" ht="15.75" customHeight="1" s="10">
      <c r="F250" s="7" t="n"/>
    </row>
    <row r="251" ht="15.75" customHeight="1" s="10">
      <c r="F251" s="7" t="n"/>
    </row>
    <row r="252" ht="15.75" customHeight="1" s="10">
      <c r="F252" s="7" t="n"/>
    </row>
    <row r="253" ht="15.75" customHeight="1" s="10">
      <c r="F253" s="7" t="n"/>
    </row>
    <row r="254" ht="15.75" customHeight="1" s="10">
      <c r="F254" s="7" t="n"/>
    </row>
    <row r="255" ht="15.75" customHeight="1" s="10">
      <c r="F255" s="7" t="n"/>
    </row>
    <row r="256" ht="15.75" customHeight="1" s="10">
      <c r="F256" s="7" t="n"/>
    </row>
    <row r="257" ht="15.75" customHeight="1" s="10">
      <c r="F257" s="7" t="n"/>
    </row>
    <row r="258" ht="15.75" customHeight="1" s="10">
      <c r="F258" s="7" t="n"/>
    </row>
    <row r="259" ht="15.75" customHeight="1" s="10">
      <c r="F259" s="7" t="n"/>
    </row>
    <row r="260" ht="15.75" customHeight="1" s="10">
      <c r="F260" s="7" t="n"/>
    </row>
    <row r="261" ht="15.75" customHeight="1" s="10">
      <c r="F261" s="7" t="n"/>
    </row>
    <row r="262" ht="15.75" customHeight="1" s="10">
      <c r="F262" s="7" t="n"/>
    </row>
    <row r="263" ht="15.75" customHeight="1" s="10">
      <c r="F263" s="7" t="n"/>
    </row>
    <row r="264" ht="15.75" customHeight="1" s="10">
      <c r="F264" s="7" t="n"/>
    </row>
    <row r="265" ht="15.75" customHeight="1" s="10">
      <c r="F265" s="7" t="n"/>
    </row>
    <row r="266" ht="15.75" customHeight="1" s="10">
      <c r="F266" s="7" t="n"/>
    </row>
    <row r="267" ht="15.75" customHeight="1" s="10">
      <c r="F267" s="7" t="n"/>
    </row>
    <row r="268" ht="15.75" customHeight="1" s="10">
      <c r="F268" s="7" t="n"/>
    </row>
    <row r="269" ht="15.75" customHeight="1" s="10">
      <c r="F269" s="7" t="n"/>
    </row>
    <row r="270" ht="15.75" customHeight="1" s="10">
      <c r="F270" s="7" t="n"/>
    </row>
    <row r="271" ht="15.75" customHeight="1" s="10">
      <c r="F271" s="7" t="n"/>
    </row>
    <row r="272" ht="15.75" customHeight="1" s="10">
      <c r="F272" s="7" t="n"/>
    </row>
    <row r="273" ht="15.75" customHeight="1" s="10">
      <c r="F273" s="7" t="n"/>
    </row>
    <row r="274" ht="15.75" customHeight="1" s="10">
      <c r="F274" s="7" t="n"/>
    </row>
    <row r="275" ht="15.75" customHeight="1" s="10">
      <c r="F275" s="7" t="n"/>
    </row>
    <row r="276" ht="15.75" customHeight="1" s="10">
      <c r="F276" s="7" t="n"/>
    </row>
    <row r="277" ht="15.75" customHeight="1" s="10">
      <c r="F277" s="7" t="n"/>
    </row>
    <row r="278" ht="15.75" customHeight="1" s="10">
      <c r="F278" s="7" t="n"/>
    </row>
    <row r="279" ht="15.75" customHeight="1" s="10">
      <c r="F279" s="7" t="n"/>
    </row>
    <row r="280" ht="15.75" customHeight="1" s="10">
      <c r="F280" s="7" t="n"/>
    </row>
    <row r="281" ht="15.75" customHeight="1" s="10">
      <c r="F281" s="7" t="n"/>
    </row>
    <row r="282" ht="15.75" customHeight="1" s="10">
      <c r="F282" s="7" t="n"/>
    </row>
    <row r="283" ht="15.75" customHeight="1" s="10">
      <c r="F283" s="7" t="n"/>
    </row>
    <row r="284" ht="15.75" customHeight="1" s="10">
      <c r="F284" s="7" t="n"/>
    </row>
    <row r="285" ht="15.75" customHeight="1" s="10">
      <c r="F285" s="7" t="n"/>
    </row>
    <row r="286" ht="15.75" customHeight="1" s="10">
      <c r="F286" s="7" t="n"/>
    </row>
    <row r="287" ht="15.75" customHeight="1" s="10">
      <c r="F287" s="7" t="n"/>
    </row>
    <row r="288" ht="15.75" customHeight="1" s="10">
      <c r="F288" s="7" t="n"/>
    </row>
    <row r="289" ht="15.75" customHeight="1" s="10">
      <c r="F289" s="7" t="n"/>
    </row>
    <row r="290" ht="15.75" customHeight="1" s="10">
      <c r="F290" s="7" t="n"/>
    </row>
    <row r="291" ht="15.75" customHeight="1" s="10">
      <c r="F291" s="7" t="n"/>
    </row>
    <row r="292" ht="15.75" customHeight="1" s="10">
      <c r="F292" s="7" t="n"/>
    </row>
    <row r="293" ht="15.75" customHeight="1" s="10">
      <c r="F293" s="7" t="n"/>
    </row>
    <row r="294" ht="15.75" customHeight="1" s="10">
      <c r="F294" s="7" t="n"/>
    </row>
    <row r="295" ht="15.75" customHeight="1" s="10">
      <c r="F295" s="7" t="n"/>
    </row>
    <row r="296" ht="15.75" customHeight="1" s="10">
      <c r="F296" s="7" t="n"/>
    </row>
    <row r="297" ht="15.75" customHeight="1" s="10">
      <c r="F297" s="7" t="n"/>
    </row>
    <row r="298" ht="15.75" customHeight="1" s="10">
      <c r="F298" s="7" t="n"/>
    </row>
    <row r="299" ht="15.75" customHeight="1" s="10">
      <c r="F299" s="7" t="n"/>
    </row>
    <row r="300" ht="15.75" customHeight="1" s="10">
      <c r="F300" s="7" t="n"/>
    </row>
    <row r="301" ht="15.75" customHeight="1" s="10">
      <c r="F301" s="7" t="n"/>
    </row>
    <row r="302" ht="15.75" customHeight="1" s="10">
      <c r="F302" s="7" t="n"/>
    </row>
    <row r="303" ht="15.75" customHeight="1" s="10">
      <c r="F303" s="7" t="n"/>
    </row>
    <row r="304" ht="15.75" customHeight="1" s="10">
      <c r="F304" s="7" t="n"/>
    </row>
    <row r="305" ht="15.75" customHeight="1" s="10">
      <c r="F305" s="7" t="n"/>
    </row>
    <row r="306" ht="15.75" customHeight="1" s="10">
      <c r="F306" s="7" t="n"/>
    </row>
    <row r="307" ht="15.75" customHeight="1" s="10">
      <c r="F307" s="7" t="n"/>
    </row>
    <row r="308" ht="15.75" customHeight="1" s="10">
      <c r="F308" s="7" t="n"/>
    </row>
    <row r="309" ht="15.75" customHeight="1" s="10">
      <c r="F309" s="7" t="n"/>
    </row>
    <row r="310" ht="15.75" customHeight="1" s="10">
      <c r="F310" s="7" t="n"/>
    </row>
    <row r="311" ht="15.75" customHeight="1" s="10">
      <c r="F311" s="7" t="n"/>
    </row>
    <row r="312" ht="15.75" customHeight="1" s="10">
      <c r="F312" s="7" t="n"/>
    </row>
    <row r="313" ht="15.75" customHeight="1" s="10">
      <c r="F313" s="7" t="n"/>
    </row>
    <row r="314" ht="15.75" customHeight="1" s="10">
      <c r="F314" s="7" t="n"/>
    </row>
    <row r="315" ht="15.75" customHeight="1" s="10">
      <c r="F315" s="7" t="n"/>
    </row>
    <row r="316" ht="15.75" customHeight="1" s="10">
      <c r="F316" s="7" t="n"/>
    </row>
    <row r="317" ht="15.75" customHeight="1" s="10">
      <c r="F317" s="7" t="n"/>
    </row>
    <row r="318" ht="15.75" customHeight="1" s="10">
      <c r="F318" s="7" t="n"/>
    </row>
    <row r="319" ht="15.75" customHeight="1" s="10">
      <c r="F319" s="7" t="n"/>
    </row>
    <row r="320" ht="15.75" customHeight="1" s="10">
      <c r="F320" s="7" t="n"/>
    </row>
    <row r="321" ht="15.75" customHeight="1" s="10">
      <c r="F321" s="7" t="n"/>
    </row>
    <row r="322" ht="15.75" customHeight="1" s="10">
      <c r="F322" s="7" t="n"/>
    </row>
    <row r="323" ht="15.75" customHeight="1" s="10">
      <c r="F323" s="7" t="n"/>
    </row>
    <row r="324" ht="15.75" customHeight="1" s="10">
      <c r="F324" s="7" t="n"/>
    </row>
    <row r="325" ht="15.75" customHeight="1" s="10">
      <c r="F325" s="7" t="n"/>
    </row>
    <row r="326" ht="15.75" customHeight="1" s="10">
      <c r="F326" s="7" t="n"/>
    </row>
    <row r="327" ht="15.75" customHeight="1" s="10">
      <c r="F327" s="7" t="n"/>
    </row>
    <row r="328" ht="15.75" customHeight="1" s="10">
      <c r="F328" s="7" t="n"/>
    </row>
    <row r="329" ht="15.75" customHeight="1" s="10">
      <c r="F329" s="7" t="n"/>
    </row>
    <row r="330" ht="15.75" customHeight="1" s="10">
      <c r="F330" s="7" t="n"/>
    </row>
    <row r="331" ht="15.75" customHeight="1" s="10">
      <c r="F331" s="7" t="n"/>
    </row>
    <row r="332" ht="15.75" customHeight="1" s="10">
      <c r="F332" s="7" t="n"/>
    </row>
    <row r="333" ht="15.75" customHeight="1" s="10">
      <c r="F333" s="7" t="n"/>
    </row>
    <row r="334" ht="15.75" customHeight="1" s="10">
      <c r="F334" s="7" t="n"/>
    </row>
    <row r="335" ht="15.75" customHeight="1" s="10">
      <c r="F335" s="7" t="n"/>
    </row>
    <row r="336" ht="15.75" customHeight="1" s="10">
      <c r="F336" s="7" t="n"/>
    </row>
    <row r="337" ht="15.75" customHeight="1" s="10">
      <c r="F337" s="7" t="n"/>
    </row>
    <row r="338" ht="15.75" customHeight="1" s="10">
      <c r="F338" s="7" t="n"/>
    </row>
    <row r="339" ht="15.75" customHeight="1" s="10">
      <c r="F339" s="7" t="n"/>
    </row>
    <row r="340" ht="15.75" customHeight="1" s="10">
      <c r="F340" s="7" t="n"/>
    </row>
    <row r="341" ht="15.75" customHeight="1" s="10">
      <c r="F341" s="7" t="n"/>
    </row>
    <row r="342" ht="15.75" customHeight="1" s="10">
      <c r="F342" s="7" t="n"/>
    </row>
    <row r="343" ht="15.75" customHeight="1" s="10">
      <c r="F343" s="7" t="n"/>
    </row>
    <row r="344" ht="15.75" customHeight="1" s="10">
      <c r="F344" s="7" t="n"/>
    </row>
    <row r="345" ht="15.75" customHeight="1" s="10">
      <c r="F345" s="7" t="n"/>
    </row>
    <row r="346" ht="15.75" customHeight="1" s="10">
      <c r="F346" s="7" t="n"/>
    </row>
    <row r="347" ht="15.75" customHeight="1" s="10">
      <c r="F347" s="7" t="n"/>
    </row>
    <row r="348" ht="15.75" customHeight="1" s="10">
      <c r="F348" s="7" t="n"/>
    </row>
    <row r="349" ht="15.75" customHeight="1" s="10">
      <c r="F349" s="7" t="n"/>
    </row>
    <row r="350" ht="15.75" customHeight="1" s="10">
      <c r="F350" s="7" t="n"/>
    </row>
    <row r="351" ht="15.75" customHeight="1" s="10">
      <c r="F351" s="7" t="n"/>
    </row>
    <row r="352" ht="15.75" customHeight="1" s="10">
      <c r="F352" s="7" t="n"/>
    </row>
    <row r="353" ht="15.75" customHeight="1" s="10">
      <c r="F353" s="7" t="n"/>
    </row>
    <row r="354" ht="15.75" customHeight="1" s="10">
      <c r="F354" s="7" t="n"/>
    </row>
    <row r="355" ht="15.75" customHeight="1" s="10">
      <c r="F355" s="7" t="n"/>
    </row>
    <row r="356" ht="15.75" customHeight="1" s="10">
      <c r="F356" s="7" t="n"/>
    </row>
    <row r="357" ht="15.75" customHeight="1" s="10">
      <c r="F357" s="7" t="n"/>
    </row>
    <row r="358" ht="15.75" customHeight="1" s="10">
      <c r="F358" s="7" t="n"/>
    </row>
    <row r="359" ht="15.75" customHeight="1" s="10">
      <c r="F359" s="7" t="n"/>
    </row>
    <row r="360" ht="15.75" customHeight="1" s="10">
      <c r="F360" s="7" t="n"/>
    </row>
    <row r="361" ht="15.75" customHeight="1" s="10">
      <c r="F361" s="7" t="n"/>
    </row>
    <row r="362" ht="15.75" customHeight="1" s="10">
      <c r="F362" s="7" t="n"/>
    </row>
    <row r="363" ht="15.75" customHeight="1" s="10">
      <c r="F363" s="7" t="n"/>
    </row>
    <row r="364" ht="15.75" customHeight="1" s="10">
      <c r="F364" s="7" t="n"/>
    </row>
    <row r="365" ht="15.75" customHeight="1" s="10">
      <c r="F365" s="7" t="n"/>
    </row>
    <row r="366" ht="15.75" customHeight="1" s="10">
      <c r="F366" s="7" t="n"/>
    </row>
    <row r="367" ht="15.75" customHeight="1" s="10">
      <c r="F367" s="7" t="n"/>
    </row>
    <row r="368" ht="15.75" customHeight="1" s="10">
      <c r="F368" s="7" t="n"/>
    </row>
    <row r="369" ht="15.75" customHeight="1" s="10">
      <c r="F369" s="7" t="n"/>
    </row>
    <row r="370" ht="15.75" customHeight="1" s="10">
      <c r="F370" s="7" t="n"/>
    </row>
    <row r="371" ht="15.75" customHeight="1" s="10">
      <c r="F371" s="7" t="n"/>
    </row>
    <row r="372" ht="15.75" customHeight="1" s="10">
      <c r="F372" s="7" t="n"/>
    </row>
    <row r="373" ht="15.75" customHeight="1" s="10">
      <c r="F373" s="7" t="n"/>
    </row>
    <row r="374" ht="15.75" customHeight="1" s="10">
      <c r="F374" s="7" t="n"/>
    </row>
    <row r="375" ht="15.75" customHeight="1" s="10">
      <c r="F375" s="7" t="n"/>
    </row>
    <row r="376" ht="15.75" customHeight="1" s="10">
      <c r="F376" s="7" t="n"/>
    </row>
    <row r="377" ht="15.75" customHeight="1" s="10">
      <c r="F377" s="7" t="n"/>
    </row>
    <row r="378" ht="15.75" customHeight="1" s="10">
      <c r="F378" s="7" t="n"/>
    </row>
    <row r="379" ht="15.75" customHeight="1" s="10">
      <c r="F379" s="7" t="n"/>
    </row>
    <row r="380" ht="15.75" customHeight="1" s="10">
      <c r="F380" s="7" t="n"/>
    </row>
    <row r="381" ht="15.75" customHeight="1" s="10">
      <c r="F381" s="7" t="n"/>
    </row>
    <row r="382" ht="15.75" customHeight="1" s="10">
      <c r="F382" s="7" t="n"/>
    </row>
    <row r="383" ht="15.75" customHeight="1" s="10">
      <c r="F383" s="7" t="n"/>
    </row>
    <row r="384" ht="15.75" customHeight="1" s="10">
      <c r="F384" s="7" t="n"/>
    </row>
    <row r="385" ht="15.75" customHeight="1" s="10">
      <c r="F385" s="7" t="n"/>
    </row>
    <row r="386" ht="15.75" customHeight="1" s="10">
      <c r="F386" s="7" t="n"/>
    </row>
    <row r="387" ht="15.75" customHeight="1" s="10">
      <c r="F387" s="7" t="n"/>
    </row>
    <row r="388" ht="15.75" customHeight="1" s="10">
      <c r="F388" s="7" t="n"/>
    </row>
    <row r="389" ht="15.75" customHeight="1" s="10">
      <c r="F389" s="7" t="n"/>
    </row>
    <row r="390" ht="15.75" customHeight="1" s="10">
      <c r="F390" s="7" t="n"/>
    </row>
    <row r="391" ht="15.75" customHeight="1" s="10">
      <c r="F391" s="7" t="n"/>
    </row>
    <row r="392" ht="15.75" customHeight="1" s="10">
      <c r="F392" s="7" t="n"/>
    </row>
    <row r="393" ht="15.75" customHeight="1" s="10">
      <c r="F393" s="7" t="n"/>
    </row>
    <row r="394" ht="15.75" customHeight="1" s="10">
      <c r="F394" s="7" t="n"/>
    </row>
    <row r="395" ht="15.75" customHeight="1" s="10">
      <c r="F395" s="7" t="n"/>
    </row>
    <row r="396" ht="15.75" customHeight="1" s="10">
      <c r="F396" s="7" t="n"/>
    </row>
    <row r="397" ht="15.75" customHeight="1" s="10">
      <c r="F397" s="7" t="n"/>
    </row>
    <row r="398" ht="15.75" customHeight="1" s="10">
      <c r="F398" s="7" t="n"/>
    </row>
    <row r="399" ht="15.75" customHeight="1" s="10">
      <c r="F399" s="7" t="n"/>
    </row>
    <row r="400" ht="15.75" customHeight="1" s="10">
      <c r="F400" s="7" t="n"/>
    </row>
    <row r="401" ht="15.75" customHeight="1" s="10">
      <c r="F401" s="7" t="n"/>
    </row>
    <row r="402" ht="15.75" customHeight="1" s="10">
      <c r="F402" s="7" t="n"/>
    </row>
    <row r="403" ht="15.75" customHeight="1" s="10">
      <c r="F403" s="7" t="n"/>
    </row>
    <row r="404" ht="15.75" customHeight="1" s="10">
      <c r="F404" s="7" t="n"/>
    </row>
    <row r="405" ht="15.75" customHeight="1" s="10">
      <c r="F405" s="7" t="n"/>
    </row>
    <row r="406" ht="15.75" customHeight="1" s="10">
      <c r="F406" s="7" t="n"/>
    </row>
    <row r="407" ht="15.75" customHeight="1" s="10">
      <c r="F407" s="7" t="n"/>
    </row>
    <row r="408" ht="15.75" customHeight="1" s="10">
      <c r="F408" s="7" t="n"/>
    </row>
    <row r="409" ht="15.75" customHeight="1" s="10">
      <c r="F409" s="7" t="n"/>
    </row>
    <row r="410" ht="15.75" customHeight="1" s="10">
      <c r="F410" s="7" t="n"/>
    </row>
    <row r="411" ht="15.75" customHeight="1" s="10">
      <c r="F411" s="7" t="n"/>
    </row>
    <row r="412" ht="15.75" customHeight="1" s="10">
      <c r="F412" s="7" t="n"/>
    </row>
    <row r="413" ht="15.75" customHeight="1" s="10">
      <c r="F413" s="7" t="n"/>
    </row>
    <row r="414" ht="15.75" customHeight="1" s="10">
      <c r="F414" s="7" t="n"/>
    </row>
    <row r="415" ht="15.75" customHeight="1" s="10">
      <c r="F415" s="7" t="n"/>
    </row>
    <row r="416" ht="15.75" customHeight="1" s="10">
      <c r="F416" s="7" t="n"/>
    </row>
    <row r="417" ht="15.75" customHeight="1" s="10">
      <c r="F417" s="7" t="n"/>
    </row>
    <row r="418" ht="15.75" customHeight="1" s="10">
      <c r="F418" s="7" t="n"/>
    </row>
    <row r="419" ht="15.75" customHeight="1" s="10">
      <c r="F419" s="7" t="n"/>
    </row>
    <row r="420" ht="15.75" customHeight="1" s="10">
      <c r="F420" s="7" t="n"/>
    </row>
    <row r="421" ht="15.75" customHeight="1" s="10">
      <c r="F421" s="7" t="n"/>
    </row>
    <row r="422" ht="15.75" customHeight="1" s="10">
      <c r="F422" s="7" t="n"/>
    </row>
    <row r="423" ht="15.75" customHeight="1" s="10">
      <c r="F423" s="7" t="n"/>
    </row>
    <row r="424" ht="15.75" customHeight="1" s="10">
      <c r="F424" s="7" t="n"/>
    </row>
    <row r="425" ht="15.75" customHeight="1" s="10">
      <c r="F425" s="7" t="n"/>
    </row>
    <row r="426" ht="15.75" customHeight="1" s="10">
      <c r="F426" s="7" t="n"/>
    </row>
    <row r="427" ht="15.75" customHeight="1" s="10">
      <c r="F427" s="7" t="n"/>
    </row>
    <row r="428" ht="15.75" customHeight="1" s="10">
      <c r="F428" s="7" t="n"/>
    </row>
    <row r="429" ht="15.75" customHeight="1" s="10">
      <c r="F429" s="7" t="n"/>
    </row>
    <row r="430" ht="15.75" customHeight="1" s="10">
      <c r="F430" s="7" t="n"/>
    </row>
    <row r="431" ht="15.75" customHeight="1" s="10">
      <c r="F431" s="7" t="n"/>
    </row>
    <row r="432" ht="15.75" customHeight="1" s="10">
      <c r="F432" s="7" t="n"/>
    </row>
    <row r="433" ht="15.75" customHeight="1" s="10">
      <c r="F433" s="7" t="n"/>
    </row>
    <row r="434" ht="15.75" customHeight="1" s="10">
      <c r="F434" s="7" t="n"/>
    </row>
    <row r="435" ht="15.75" customHeight="1" s="10">
      <c r="F435" s="7" t="n"/>
    </row>
    <row r="436" ht="15.75" customHeight="1" s="10">
      <c r="F436" s="7" t="n"/>
    </row>
    <row r="437" ht="15.75" customHeight="1" s="10">
      <c r="F437" s="7" t="n"/>
    </row>
    <row r="438" ht="15.75" customHeight="1" s="10">
      <c r="F438" s="7" t="n"/>
    </row>
    <row r="439" ht="15.75" customHeight="1" s="10">
      <c r="F439" s="7" t="n"/>
    </row>
    <row r="440" ht="15.75" customHeight="1" s="10">
      <c r="F440" s="7" t="n"/>
    </row>
    <row r="441" ht="15.75" customHeight="1" s="10">
      <c r="F441" s="7" t="n"/>
    </row>
    <row r="442" ht="15.75" customHeight="1" s="10">
      <c r="F442" s="7" t="n"/>
    </row>
    <row r="443" ht="15.75" customHeight="1" s="10">
      <c r="F443" s="7" t="n"/>
    </row>
    <row r="444" ht="15.75" customHeight="1" s="10">
      <c r="F444" s="7" t="n"/>
    </row>
    <row r="445" ht="15.75" customHeight="1" s="10">
      <c r="F445" s="7" t="n"/>
    </row>
    <row r="446" ht="15.75" customHeight="1" s="10">
      <c r="F446" s="7" t="n"/>
    </row>
    <row r="447" ht="15.75" customHeight="1" s="10">
      <c r="F447" s="7" t="n"/>
    </row>
    <row r="448" ht="15.75" customHeight="1" s="10">
      <c r="F448" s="7" t="n"/>
    </row>
    <row r="449" ht="15.75" customHeight="1" s="10">
      <c r="F449" s="7" t="n"/>
    </row>
    <row r="450" ht="15.75" customHeight="1" s="10">
      <c r="F450" s="7" t="n"/>
    </row>
    <row r="451" ht="15.75" customHeight="1" s="10">
      <c r="F451" s="7" t="n"/>
    </row>
    <row r="452" ht="15.75" customHeight="1" s="10">
      <c r="F452" s="7" t="n"/>
    </row>
    <row r="453" ht="15.75" customHeight="1" s="10">
      <c r="F453" s="7" t="n"/>
    </row>
    <row r="454" ht="15.75" customHeight="1" s="10">
      <c r="F454" s="7" t="n"/>
    </row>
    <row r="455" ht="15.75" customHeight="1" s="10">
      <c r="F455" s="7" t="n"/>
    </row>
    <row r="456" ht="15.75" customHeight="1" s="10">
      <c r="F456" s="7" t="n"/>
    </row>
    <row r="457" ht="15.75" customHeight="1" s="10">
      <c r="F457" s="7" t="n"/>
    </row>
    <row r="458" ht="15.75" customHeight="1" s="10">
      <c r="F458" s="7" t="n"/>
    </row>
    <row r="459" ht="15.75" customHeight="1" s="10">
      <c r="F459" s="7" t="n"/>
    </row>
    <row r="460" ht="15.75" customHeight="1" s="10">
      <c r="F460" s="7" t="n"/>
    </row>
    <row r="461" ht="15.75" customHeight="1" s="10">
      <c r="F461" s="7" t="n"/>
    </row>
    <row r="462" ht="15.75" customHeight="1" s="10">
      <c r="F462" s="7" t="n"/>
    </row>
    <row r="463" ht="15.75" customHeight="1" s="10">
      <c r="F463" s="7" t="n"/>
    </row>
    <row r="464" ht="15.75" customHeight="1" s="10">
      <c r="F464" s="7" t="n"/>
    </row>
    <row r="465" ht="15.75" customHeight="1" s="10">
      <c r="F465" s="7" t="n"/>
    </row>
    <row r="466" ht="15.75" customHeight="1" s="10">
      <c r="F466" s="7" t="n"/>
    </row>
    <row r="467" ht="15.75" customHeight="1" s="10">
      <c r="F467" s="7" t="n"/>
    </row>
    <row r="468" ht="15.75" customHeight="1" s="10">
      <c r="F468" s="7" t="n"/>
    </row>
    <row r="469" ht="15.75" customHeight="1" s="10">
      <c r="F469" s="7" t="n"/>
    </row>
    <row r="470" ht="15.75" customHeight="1" s="10">
      <c r="F470" s="7" t="n"/>
    </row>
    <row r="471" ht="15.75" customHeight="1" s="10">
      <c r="F471" s="7" t="n"/>
    </row>
    <row r="472" ht="15.75" customHeight="1" s="10">
      <c r="F472" s="7" t="n"/>
    </row>
    <row r="473" ht="15.75" customHeight="1" s="10">
      <c r="F473" s="7" t="n"/>
    </row>
    <row r="474" ht="15.75" customHeight="1" s="10">
      <c r="F474" s="7" t="n"/>
    </row>
    <row r="475" ht="15.75" customHeight="1" s="10">
      <c r="F475" s="7" t="n"/>
    </row>
    <row r="476" ht="15.75" customHeight="1" s="10">
      <c r="F476" s="7" t="n"/>
    </row>
    <row r="477" ht="15.75" customHeight="1" s="10">
      <c r="F477" s="7" t="n"/>
    </row>
    <row r="478" ht="15.75" customHeight="1" s="10">
      <c r="F478" s="7" t="n"/>
    </row>
    <row r="479" ht="15.75" customHeight="1" s="10">
      <c r="F479" s="7" t="n"/>
    </row>
    <row r="480" ht="15.75" customHeight="1" s="10">
      <c r="F480" s="7" t="n"/>
    </row>
    <row r="481" ht="15.75" customHeight="1" s="10">
      <c r="F481" s="7" t="n"/>
    </row>
    <row r="482" ht="15.75" customHeight="1" s="10">
      <c r="F482" s="7" t="n"/>
    </row>
    <row r="483" ht="15.75" customHeight="1" s="10">
      <c r="F483" s="7" t="n"/>
    </row>
    <row r="484" ht="15.75" customHeight="1" s="10">
      <c r="F484" s="7" t="n"/>
    </row>
    <row r="485" ht="15.75" customHeight="1" s="10">
      <c r="F485" s="7" t="n"/>
    </row>
    <row r="486" ht="15.75" customHeight="1" s="10">
      <c r="F486" s="7" t="n"/>
    </row>
    <row r="487" ht="15.75" customHeight="1" s="10">
      <c r="F487" s="7" t="n"/>
    </row>
    <row r="488" ht="15.75" customHeight="1" s="10">
      <c r="F488" s="7" t="n"/>
    </row>
    <row r="489" ht="15.75" customHeight="1" s="10">
      <c r="F489" s="7" t="n"/>
    </row>
    <row r="490" ht="15.75" customHeight="1" s="10">
      <c r="F490" s="7" t="n"/>
    </row>
    <row r="491" ht="15.75" customHeight="1" s="10">
      <c r="F491" s="7" t="n"/>
    </row>
    <row r="492" ht="15.75" customHeight="1" s="10">
      <c r="F492" s="7" t="n"/>
    </row>
    <row r="493" ht="15.75" customHeight="1" s="10">
      <c r="F493" s="7" t="n"/>
    </row>
    <row r="494" ht="15.75" customHeight="1" s="10">
      <c r="F494" s="7" t="n"/>
    </row>
    <row r="495" ht="15.75" customHeight="1" s="10">
      <c r="F495" s="7" t="n"/>
    </row>
    <row r="496" ht="15.75" customHeight="1" s="10">
      <c r="F496" s="7" t="n"/>
    </row>
    <row r="497" ht="15.75" customHeight="1" s="10">
      <c r="F497" s="7" t="n"/>
    </row>
    <row r="498" ht="15.75" customHeight="1" s="10">
      <c r="F498" s="7" t="n"/>
    </row>
    <row r="499" ht="15.75" customHeight="1" s="10">
      <c r="F499" s="7" t="n"/>
    </row>
    <row r="500" ht="15.75" customHeight="1" s="10">
      <c r="F500" s="7" t="n"/>
    </row>
    <row r="501" ht="15.75" customHeight="1" s="10">
      <c r="F501" s="7" t="n"/>
    </row>
    <row r="502" ht="15.75" customHeight="1" s="10">
      <c r="F502" s="7" t="n"/>
    </row>
    <row r="503" ht="15.75" customHeight="1" s="10">
      <c r="F503" s="7" t="n"/>
    </row>
    <row r="504" ht="15.75" customHeight="1" s="10">
      <c r="F504" s="7" t="n"/>
    </row>
    <row r="505" ht="15.75" customHeight="1" s="10">
      <c r="F505" s="7" t="n"/>
    </row>
    <row r="506" ht="15.75" customHeight="1" s="10">
      <c r="F506" s="7" t="n"/>
    </row>
    <row r="507" ht="15.75" customHeight="1" s="10">
      <c r="F507" s="7" t="n"/>
    </row>
    <row r="508" ht="15.75" customHeight="1" s="10">
      <c r="F508" s="7" t="n"/>
    </row>
    <row r="509" ht="15.75" customHeight="1" s="10">
      <c r="F509" s="7" t="n"/>
    </row>
    <row r="510" ht="15.75" customHeight="1" s="10">
      <c r="F510" s="7" t="n"/>
    </row>
    <row r="511" ht="15.75" customHeight="1" s="10">
      <c r="F511" s="7" t="n"/>
    </row>
    <row r="512" ht="15.75" customHeight="1" s="10">
      <c r="F512" s="7" t="n"/>
    </row>
    <row r="513" ht="15.75" customHeight="1" s="10">
      <c r="F513" s="7" t="n"/>
    </row>
    <row r="514" ht="15.75" customHeight="1" s="10">
      <c r="F514" s="7" t="n"/>
    </row>
    <row r="515" ht="15.75" customHeight="1" s="10">
      <c r="F515" s="7" t="n"/>
    </row>
    <row r="516" ht="15.75" customHeight="1" s="10">
      <c r="F516" s="7" t="n"/>
    </row>
    <row r="517" ht="15.75" customHeight="1" s="10">
      <c r="F517" s="7" t="n"/>
    </row>
    <row r="518" ht="15.75" customHeight="1" s="10">
      <c r="F518" s="7" t="n"/>
    </row>
    <row r="519" ht="15.75" customHeight="1" s="10">
      <c r="F519" s="7" t="n"/>
    </row>
    <row r="520" ht="15.75" customHeight="1" s="10">
      <c r="F520" s="7" t="n"/>
    </row>
    <row r="521" ht="15.75" customHeight="1" s="10">
      <c r="F521" s="7" t="n"/>
    </row>
    <row r="522" ht="15.75" customHeight="1" s="10">
      <c r="F522" s="7" t="n"/>
    </row>
    <row r="523" ht="15.75" customHeight="1" s="10">
      <c r="F523" s="7" t="n"/>
    </row>
    <row r="524" ht="15.75" customHeight="1" s="10">
      <c r="F524" s="7" t="n"/>
    </row>
    <row r="525" ht="15.75" customHeight="1" s="10">
      <c r="F525" s="7" t="n"/>
    </row>
    <row r="526" ht="15.75" customHeight="1" s="10">
      <c r="F526" s="7" t="n"/>
    </row>
    <row r="527" ht="15.75" customHeight="1" s="10">
      <c r="F527" s="7" t="n"/>
    </row>
    <row r="528" ht="15.75" customHeight="1" s="10">
      <c r="F528" s="7" t="n"/>
    </row>
    <row r="529" ht="15.75" customHeight="1" s="10">
      <c r="F529" s="7" t="n"/>
    </row>
    <row r="530" ht="15.75" customHeight="1" s="10">
      <c r="F530" s="7" t="n"/>
    </row>
    <row r="531" ht="15.75" customHeight="1" s="10">
      <c r="F531" s="7" t="n"/>
    </row>
    <row r="532" ht="15.75" customHeight="1" s="10">
      <c r="F532" s="7" t="n"/>
    </row>
    <row r="533" ht="15.75" customHeight="1" s="10">
      <c r="F533" s="7" t="n"/>
    </row>
    <row r="534" ht="15.75" customHeight="1" s="10">
      <c r="F534" s="7" t="n"/>
    </row>
    <row r="535" ht="15.75" customHeight="1" s="10">
      <c r="F535" s="7" t="n"/>
    </row>
    <row r="536" ht="15.75" customHeight="1" s="10">
      <c r="F536" s="7" t="n"/>
    </row>
    <row r="537" ht="15.75" customHeight="1" s="10">
      <c r="F537" s="7" t="n"/>
    </row>
    <row r="538" ht="15.75" customHeight="1" s="10">
      <c r="F538" s="7" t="n"/>
    </row>
    <row r="539" ht="15.75" customHeight="1" s="10">
      <c r="F539" s="7" t="n"/>
    </row>
    <row r="540" ht="15.75" customHeight="1" s="10">
      <c r="F540" s="7" t="n"/>
    </row>
    <row r="541" ht="15.75" customHeight="1" s="10">
      <c r="F541" s="7" t="n"/>
    </row>
    <row r="542" ht="15.75" customHeight="1" s="10">
      <c r="F542" s="7" t="n"/>
    </row>
    <row r="543" ht="15.75" customHeight="1" s="10">
      <c r="F543" s="7" t="n"/>
    </row>
    <row r="544" ht="15.75" customHeight="1" s="10">
      <c r="F544" s="7" t="n"/>
    </row>
    <row r="545" ht="15.75" customHeight="1" s="10">
      <c r="F545" s="7" t="n"/>
    </row>
    <row r="546" ht="15.75" customHeight="1" s="10">
      <c r="F546" s="7" t="n"/>
    </row>
    <row r="547" ht="15.75" customHeight="1" s="10">
      <c r="F547" s="7" t="n"/>
    </row>
    <row r="548" ht="15.75" customHeight="1" s="10">
      <c r="F548" s="7" t="n"/>
    </row>
    <row r="549" ht="15.75" customHeight="1" s="10">
      <c r="F549" s="7" t="n"/>
    </row>
    <row r="550" ht="15.75" customHeight="1" s="10">
      <c r="F550" s="7" t="n"/>
    </row>
    <row r="551" ht="15.75" customHeight="1" s="10">
      <c r="F551" s="7" t="n"/>
    </row>
    <row r="552" ht="15.75" customHeight="1" s="10">
      <c r="F552" s="7" t="n"/>
    </row>
    <row r="553" ht="15.75" customHeight="1" s="10">
      <c r="F553" s="7" t="n"/>
    </row>
    <row r="554" ht="15.75" customHeight="1" s="10">
      <c r="F554" s="7" t="n"/>
    </row>
    <row r="555" ht="15.75" customHeight="1" s="10">
      <c r="F555" s="7" t="n"/>
    </row>
    <row r="556" ht="15.75" customHeight="1" s="10">
      <c r="F556" s="7" t="n"/>
    </row>
    <row r="557" ht="15.75" customHeight="1" s="10">
      <c r="F557" s="7" t="n"/>
    </row>
    <row r="558" ht="15.75" customHeight="1" s="10">
      <c r="F558" s="7" t="n"/>
    </row>
    <row r="559" ht="15.75" customHeight="1" s="10">
      <c r="F559" s="7" t="n"/>
    </row>
    <row r="560" ht="15.75" customHeight="1" s="10">
      <c r="F560" s="7" t="n"/>
    </row>
    <row r="561" ht="15.75" customHeight="1" s="10">
      <c r="F561" s="7" t="n"/>
    </row>
    <row r="562" ht="15.75" customHeight="1" s="10">
      <c r="F562" s="7" t="n"/>
    </row>
    <row r="563" ht="15.75" customHeight="1" s="10">
      <c r="F563" s="7" t="n"/>
    </row>
    <row r="564" ht="15.75" customHeight="1" s="10">
      <c r="F564" s="7" t="n"/>
    </row>
    <row r="565" ht="15.75" customHeight="1" s="10">
      <c r="F565" s="7" t="n"/>
    </row>
    <row r="566" ht="15.75" customHeight="1" s="10">
      <c r="F566" s="7" t="n"/>
    </row>
    <row r="567" ht="15.75" customHeight="1" s="10">
      <c r="F567" s="7" t="n"/>
    </row>
    <row r="568" ht="15.75" customHeight="1" s="10">
      <c r="F568" s="7" t="n"/>
    </row>
    <row r="569" ht="15.75" customHeight="1" s="10">
      <c r="F569" s="7" t="n"/>
    </row>
    <row r="570" ht="15.75" customHeight="1" s="10">
      <c r="F570" s="7" t="n"/>
    </row>
    <row r="571" ht="15.75" customHeight="1" s="10">
      <c r="F571" s="7" t="n"/>
    </row>
    <row r="572" ht="15.75" customHeight="1" s="10">
      <c r="F572" s="7" t="n"/>
    </row>
    <row r="573" ht="15.75" customHeight="1" s="10">
      <c r="F573" s="7" t="n"/>
    </row>
    <row r="574" ht="15.75" customHeight="1" s="10">
      <c r="F574" s="7" t="n"/>
    </row>
    <row r="575" ht="15.75" customHeight="1" s="10">
      <c r="F575" s="7" t="n"/>
    </row>
    <row r="576" ht="15.75" customHeight="1" s="10">
      <c r="F576" s="7" t="n"/>
    </row>
    <row r="577" ht="15.75" customHeight="1" s="10">
      <c r="F577" s="7" t="n"/>
    </row>
    <row r="578" ht="15.75" customHeight="1" s="10">
      <c r="F578" s="7" t="n"/>
    </row>
    <row r="579" ht="15.75" customHeight="1" s="10">
      <c r="F579" s="7" t="n"/>
    </row>
    <row r="580" ht="15.75" customHeight="1" s="10">
      <c r="F580" s="7" t="n"/>
    </row>
    <row r="581" ht="15.75" customHeight="1" s="10">
      <c r="F581" s="7" t="n"/>
    </row>
    <row r="582" ht="15.75" customHeight="1" s="10">
      <c r="F582" s="7" t="n"/>
    </row>
    <row r="583" ht="15.75" customHeight="1" s="10">
      <c r="F583" s="7" t="n"/>
    </row>
    <row r="584" ht="15.75" customHeight="1" s="10">
      <c r="F584" s="7" t="n"/>
    </row>
    <row r="585" ht="15.75" customHeight="1" s="10">
      <c r="F585" s="7" t="n"/>
    </row>
    <row r="586" ht="15.75" customHeight="1" s="10">
      <c r="F586" s="7" t="n"/>
    </row>
    <row r="587" ht="15.75" customHeight="1" s="10">
      <c r="F587" s="7" t="n"/>
    </row>
    <row r="588" ht="15.75" customHeight="1" s="10">
      <c r="F588" s="7" t="n"/>
    </row>
    <row r="589" ht="15.75" customHeight="1" s="10">
      <c r="F589" s="7" t="n"/>
    </row>
    <row r="590" ht="15.75" customHeight="1" s="10">
      <c r="F590" s="7" t="n"/>
    </row>
    <row r="591" ht="15.75" customHeight="1" s="10">
      <c r="F591" s="7" t="n"/>
    </row>
    <row r="592" ht="15.75" customHeight="1" s="10">
      <c r="F592" s="7" t="n"/>
    </row>
    <row r="593" ht="15.75" customHeight="1" s="10">
      <c r="F593" s="7" t="n"/>
    </row>
    <row r="594" ht="15.75" customHeight="1" s="10">
      <c r="F594" s="7" t="n"/>
    </row>
    <row r="595" ht="15.75" customHeight="1" s="10">
      <c r="F595" s="7" t="n"/>
    </row>
    <row r="596" ht="15.75" customHeight="1" s="10">
      <c r="F596" s="7" t="n"/>
    </row>
    <row r="597" ht="15.75" customHeight="1" s="10">
      <c r="F597" s="7" t="n"/>
    </row>
    <row r="598" ht="15.75" customHeight="1" s="10">
      <c r="F598" s="7" t="n"/>
    </row>
    <row r="599" ht="15.75" customHeight="1" s="10">
      <c r="F599" s="7" t="n"/>
    </row>
    <row r="600" ht="15.75" customHeight="1" s="10">
      <c r="F600" s="7" t="n"/>
    </row>
    <row r="601" ht="15.75" customHeight="1" s="10">
      <c r="F601" s="7" t="n"/>
    </row>
    <row r="602" ht="15.75" customHeight="1" s="10">
      <c r="F602" s="7" t="n"/>
    </row>
    <row r="603" ht="15.75" customHeight="1" s="10">
      <c r="F603" s="7" t="n"/>
    </row>
    <row r="604" ht="15.75" customHeight="1" s="10">
      <c r="F604" s="7" t="n"/>
    </row>
    <row r="605" ht="15.75" customHeight="1" s="10">
      <c r="F605" s="7" t="n"/>
    </row>
    <row r="606" ht="15.75" customHeight="1" s="10">
      <c r="F606" s="7" t="n"/>
    </row>
    <row r="607" ht="15.75" customHeight="1" s="10">
      <c r="F607" s="7" t="n"/>
    </row>
    <row r="608" ht="15.75" customHeight="1" s="10">
      <c r="F608" s="7" t="n"/>
    </row>
    <row r="609" ht="15.75" customHeight="1" s="10">
      <c r="F609" s="7" t="n"/>
    </row>
    <row r="610" ht="15.75" customHeight="1" s="10">
      <c r="F610" s="7" t="n"/>
    </row>
    <row r="611" ht="15.75" customHeight="1" s="10">
      <c r="F611" s="7" t="n"/>
    </row>
    <row r="612" ht="15.75" customHeight="1" s="10">
      <c r="F612" s="7" t="n"/>
    </row>
    <row r="613" ht="15.75" customHeight="1" s="10">
      <c r="F613" s="7" t="n"/>
    </row>
    <row r="614" ht="15.75" customHeight="1" s="10">
      <c r="F614" s="7" t="n"/>
    </row>
    <row r="615" ht="15.75" customHeight="1" s="10">
      <c r="F615" s="7" t="n"/>
    </row>
    <row r="616" ht="15.75" customHeight="1" s="10">
      <c r="F616" s="7" t="n"/>
    </row>
    <row r="617" ht="15.75" customHeight="1" s="10">
      <c r="F617" s="7" t="n"/>
    </row>
    <row r="618" ht="15.75" customHeight="1" s="10">
      <c r="F618" s="7" t="n"/>
    </row>
    <row r="619" ht="15.75" customHeight="1" s="10">
      <c r="F619" s="7" t="n"/>
    </row>
    <row r="620" ht="15.75" customHeight="1" s="10">
      <c r="F620" s="7" t="n"/>
    </row>
    <row r="621" ht="15.75" customHeight="1" s="10">
      <c r="F621" s="7" t="n"/>
    </row>
    <row r="622" ht="15.75" customHeight="1" s="10">
      <c r="F622" s="7" t="n"/>
    </row>
    <row r="623" ht="15.75" customHeight="1" s="10">
      <c r="F623" s="7" t="n"/>
    </row>
    <row r="624" ht="15.75" customHeight="1" s="10">
      <c r="F624" s="7" t="n"/>
    </row>
    <row r="625" ht="15.75" customHeight="1" s="10">
      <c r="F625" s="7" t="n"/>
    </row>
    <row r="626" ht="15.75" customHeight="1" s="10">
      <c r="F626" s="7" t="n"/>
    </row>
    <row r="627" ht="15.75" customHeight="1" s="10">
      <c r="F627" s="7" t="n"/>
    </row>
    <row r="628" ht="15.75" customHeight="1" s="10">
      <c r="F628" s="7" t="n"/>
    </row>
    <row r="629" ht="15.75" customHeight="1" s="10">
      <c r="F629" s="7" t="n"/>
    </row>
    <row r="630" ht="15.75" customHeight="1" s="10">
      <c r="F630" s="7" t="n"/>
    </row>
    <row r="631" ht="15.75" customHeight="1" s="10">
      <c r="F631" s="7" t="n"/>
    </row>
    <row r="632" ht="15.75" customHeight="1" s="10">
      <c r="F632" s="7" t="n"/>
    </row>
    <row r="633" ht="15.75" customHeight="1" s="10">
      <c r="F633" s="7" t="n"/>
    </row>
    <row r="634" ht="15.75" customHeight="1" s="10">
      <c r="F634" s="7" t="n"/>
    </row>
    <row r="635" ht="15.75" customHeight="1" s="10">
      <c r="F635" s="7" t="n"/>
    </row>
    <row r="636" ht="15.75" customHeight="1" s="10">
      <c r="F636" s="7" t="n"/>
    </row>
    <row r="637" ht="15.75" customHeight="1" s="10">
      <c r="F637" s="7" t="n"/>
    </row>
    <row r="638" ht="15.75" customHeight="1" s="10">
      <c r="F638" s="7" t="n"/>
    </row>
    <row r="639" ht="15.75" customHeight="1" s="10">
      <c r="F639" s="7" t="n"/>
    </row>
    <row r="640" ht="15.75" customHeight="1" s="10">
      <c r="F640" s="7" t="n"/>
    </row>
    <row r="641" ht="15.75" customHeight="1" s="10">
      <c r="F641" s="7" t="n"/>
    </row>
    <row r="642" ht="15.75" customHeight="1" s="10">
      <c r="F642" s="7" t="n"/>
    </row>
    <row r="643" ht="15.75" customHeight="1" s="10">
      <c r="F643" s="7" t="n"/>
    </row>
    <row r="644" ht="15.75" customHeight="1" s="10">
      <c r="F644" s="7" t="n"/>
    </row>
    <row r="645" ht="15.75" customHeight="1" s="10">
      <c r="F645" s="7" t="n"/>
    </row>
    <row r="646" ht="15.75" customHeight="1" s="10">
      <c r="F646" s="7" t="n"/>
    </row>
    <row r="647" ht="15.75" customHeight="1" s="10">
      <c r="F647" s="7" t="n"/>
    </row>
    <row r="648" ht="15.75" customHeight="1" s="10">
      <c r="F648" s="7" t="n"/>
    </row>
    <row r="649" ht="15.75" customHeight="1" s="10">
      <c r="F649" s="7" t="n"/>
    </row>
    <row r="650" ht="15.75" customHeight="1" s="10">
      <c r="F650" s="7" t="n"/>
    </row>
    <row r="651" ht="15.75" customHeight="1" s="10">
      <c r="F651" s="7" t="n"/>
    </row>
    <row r="652" ht="15.75" customHeight="1" s="10">
      <c r="F652" s="7" t="n"/>
    </row>
    <row r="653" ht="15.75" customHeight="1" s="10">
      <c r="F653" s="7" t="n"/>
    </row>
    <row r="654" ht="15.75" customHeight="1" s="10">
      <c r="F654" s="7" t="n"/>
    </row>
    <row r="655" ht="15.75" customHeight="1" s="10">
      <c r="F655" s="7" t="n"/>
    </row>
    <row r="656" ht="15.75" customHeight="1" s="10">
      <c r="F656" s="7" t="n"/>
    </row>
    <row r="657" ht="15.75" customHeight="1" s="10">
      <c r="F657" s="7" t="n"/>
    </row>
    <row r="658" ht="15.75" customHeight="1" s="10">
      <c r="F658" s="7" t="n"/>
    </row>
    <row r="659" ht="15.75" customHeight="1" s="10">
      <c r="F659" s="7" t="n"/>
    </row>
    <row r="660" ht="15.75" customHeight="1" s="10">
      <c r="F660" s="7" t="n"/>
    </row>
    <row r="661" ht="15.75" customHeight="1" s="10">
      <c r="F661" s="7" t="n"/>
    </row>
    <row r="662" ht="15.75" customHeight="1" s="10">
      <c r="F662" s="7" t="n"/>
    </row>
    <row r="663" ht="15.75" customHeight="1" s="10">
      <c r="F663" s="7" t="n"/>
    </row>
    <row r="664" ht="15.75" customHeight="1" s="10">
      <c r="F664" s="7" t="n"/>
    </row>
    <row r="665" ht="15.75" customHeight="1" s="10">
      <c r="F665" s="7" t="n"/>
    </row>
    <row r="666" ht="15.75" customHeight="1" s="10">
      <c r="F666" s="7" t="n"/>
    </row>
    <row r="667" ht="15.75" customHeight="1" s="10">
      <c r="F667" s="7" t="n"/>
    </row>
    <row r="668" ht="15.75" customHeight="1" s="10">
      <c r="F668" s="7" t="n"/>
    </row>
    <row r="669" ht="15.75" customHeight="1" s="10">
      <c r="F669" s="7" t="n"/>
    </row>
    <row r="670" ht="15.75" customHeight="1" s="10">
      <c r="F670" s="7" t="n"/>
    </row>
    <row r="671" ht="15.75" customHeight="1" s="10">
      <c r="F671" s="7" t="n"/>
    </row>
    <row r="672" ht="15.75" customHeight="1" s="10">
      <c r="F672" s="7" t="n"/>
    </row>
    <row r="673" ht="15.75" customHeight="1" s="10">
      <c r="F673" s="7" t="n"/>
    </row>
    <row r="674" ht="15.75" customHeight="1" s="10">
      <c r="F674" s="7" t="n"/>
    </row>
    <row r="675" ht="15.75" customHeight="1" s="10">
      <c r="F675" s="7" t="n"/>
    </row>
    <row r="676" ht="15.75" customHeight="1" s="10">
      <c r="F676" s="7" t="n"/>
    </row>
    <row r="677" ht="15.75" customHeight="1" s="10">
      <c r="F677" s="7" t="n"/>
    </row>
    <row r="678" ht="15.75" customHeight="1" s="10">
      <c r="F678" s="7" t="n"/>
    </row>
    <row r="679" ht="15.75" customHeight="1" s="10">
      <c r="F679" s="7" t="n"/>
    </row>
    <row r="680" ht="15.75" customHeight="1" s="10">
      <c r="F680" s="7" t="n"/>
    </row>
    <row r="681" ht="15.75" customHeight="1" s="10">
      <c r="F681" s="7" t="n"/>
    </row>
    <row r="682" ht="15.75" customHeight="1" s="10">
      <c r="F682" s="7" t="n"/>
    </row>
    <row r="683" ht="15.75" customHeight="1" s="10">
      <c r="F683" s="7" t="n"/>
    </row>
    <row r="684" ht="15.75" customHeight="1" s="10">
      <c r="F684" s="7" t="n"/>
    </row>
    <row r="685" ht="15.75" customHeight="1" s="10">
      <c r="F685" s="7" t="n"/>
    </row>
    <row r="686" ht="15.75" customHeight="1" s="10">
      <c r="F686" s="7" t="n"/>
    </row>
    <row r="687" ht="15.75" customHeight="1" s="10">
      <c r="F687" s="7" t="n"/>
    </row>
    <row r="688" ht="15.75" customHeight="1" s="10">
      <c r="F688" s="7" t="n"/>
    </row>
    <row r="689" ht="15.75" customHeight="1" s="10">
      <c r="F689" s="7" t="n"/>
    </row>
    <row r="690" ht="15.75" customHeight="1" s="10">
      <c r="F690" s="7" t="n"/>
    </row>
    <row r="691" ht="15.75" customHeight="1" s="10">
      <c r="F691" s="7" t="n"/>
    </row>
    <row r="692" ht="15.75" customHeight="1" s="10">
      <c r="F692" s="7" t="n"/>
    </row>
    <row r="693" ht="15.75" customHeight="1" s="10">
      <c r="F693" s="7" t="n"/>
    </row>
    <row r="694" ht="15.75" customHeight="1" s="10">
      <c r="F694" s="7" t="n"/>
    </row>
    <row r="695" ht="15.75" customHeight="1" s="10">
      <c r="F695" s="7" t="n"/>
    </row>
    <row r="696" ht="15.75" customHeight="1" s="10">
      <c r="F696" s="7" t="n"/>
    </row>
    <row r="697" ht="15.75" customHeight="1" s="10">
      <c r="F697" s="7" t="n"/>
    </row>
    <row r="698" ht="15.75" customHeight="1" s="10">
      <c r="F698" s="7" t="n"/>
    </row>
    <row r="699" ht="15.75" customHeight="1" s="10">
      <c r="F699" s="7" t="n"/>
    </row>
    <row r="700" ht="15.75" customHeight="1" s="10">
      <c r="F700" s="7" t="n"/>
    </row>
    <row r="701" ht="15.75" customHeight="1" s="10">
      <c r="F701" s="7" t="n"/>
    </row>
    <row r="702" ht="15.75" customHeight="1" s="10">
      <c r="F702" s="7" t="n"/>
    </row>
    <row r="703" ht="15.75" customHeight="1" s="10">
      <c r="F703" s="7" t="n"/>
    </row>
    <row r="704" ht="15.75" customHeight="1" s="10">
      <c r="F704" s="7" t="n"/>
    </row>
    <row r="705" ht="15.75" customHeight="1" s="10">
      <c r="F705" s="7" t="n"/>
    </row>
    <row r="706" ht="15.75" customHeight="1" s="10">
      <c r="F706" s="7" t="n"/>
    </row>
    <row r="707" ht="15.75" customHeight="1" s="10">
      <c r="F707" s="7" t="n"/>
    </row>
    <row r="708" ht="15.75" customHeight="1" s="10">
      <c r="F708" s="7" t="n"/>
    </row>
    <row r="709" ht="15.75" customHeight="1" s="10">
      <c r="F709" s="7" t="n"/>
    </row>
    <row r="710" ht="15.75" customHeight="1" s="10">
      <c r="F710" s="7" t="n"/>
    </row>
    <row r="711" ht="15.75" customHeight="1" s="10">
      <c r="F711" s="7" t="n"/>
    </row>
    <row r="712" ht="15.75" customHeight="1" s="10">
      <c r="F712" s="7" t="n"/>
    </row>
    <row r="713" ht="15.75" customHeight="1" s="10">
      <c r="F713" s="7" t="n"/>
    </row>
    <row r="714" ht="15.75" customHeight="1" s="10">
      <c r="F714" s="7" t="n"/>
    </row>
    <row r="715" ht="15.75" customHeight="1" s="10">
      <c r="F715" s="7" t="n"/>
    </row>
    <row r="716" ht="15.75" customHeight="1" s="10">
      <c r="F716" s="7" t="n"/>
    </row>
    <row r="717" ht="15.75" customHeight="1" s="10">
      <c r="F717" s="7" t="n"/>
    </row>
    <row r="718" ht="15.75" customHeight="1" s="10">
      <c r="F718" s="7" t="n"/>
    </row>
    <row r="719" ht="15.75" customHeight="1" s="10">
      <c r="F719" s="7" t="n"/>
    </row>
    <row r="720" ht="15.75" customHeight="1" s="10">
      <c r="F720" s="7" t="n"/>
    </row>
    <row r="721" ht="15.75" customHeight="1" s="10">
      <c r="F721" s="7" t="n"/>
    </row>
    <row r="722" ht="15.75" customHeight="1" s="10">
      <c r="F722" s="7" t="n"/>
    </row>
    <row r="723" ht="15.75" customHeight="1" s="10">
      <c r="F723" s="7" t="n"/>
    </row>
    <row r="724" ht="15.75" customHeight="1" s="10">
      <c r="F724" s="7" t="n"/>
    </row>
    <row r="725" ht="15.75" customHeight="1" s="10">
      <c r="F725" s="7" t="n"/>
    </row>
    <row r="726" ht="15.75" customHeight="1" s="10">
      <c r="F726" s="7" t="n"/>
    </row>
    <row r="727" ht="15.75" customHeight="1" s="10">
      <c r="F727" s="7" t="n"/>
    </row>
    <row r="728" ht="15.75" customHeight="1" s="10">
      <c r="F728" s="7" t="n"/>
    </row>
    <row r="729" ht="15.75" customHeight="1" s="10">
      <c r="F729" s="7" t="n"/>
    </row>
    <row r="730" ht="15.75" customHeight="1" s="10">
      <c r="F730" s="7" t="n"/>
    </row>
    <row r="731" ht="15.75" customHeight="1" s="10">
      <c r="F731" s="7" t="n"/>
    </row>
    <row r="732" ht="15.75" customHeight="1" s="10">
      <c r="F732" s="7" t="n"/>
    </row>
    <row r="733" ht="15.75" customHeight="1" s="10">
      <c r="F733" s="7" t="n"/>
    </row>
    <row r="734" ht="15.75" customHeight="1" s="10">
      <c r="F734" s="7" t="n"/>
    </row>
    <row r="735" ht="15.75" customHeight="1" s="10">
      <c r="F735" s="7" t="n"/>
    </row>
    <row r="736" ht="15.75" customHeight="1" s="10">
      <c r="F736" s="7" t="n"/>
    </row>
    <row r="737" ht="15.75" customHeight="1" s="10">
      <c r="F737" s="7" t="n"/>
    </row>
    <row r="738" ht="15.75" customHeight="1" s="10">
      <c r="F738" s="7" t="n"/>
    </row>
    <row r="739" ht="15.75" customHeight="1" s="10">
      <c r="F739" s="7" t="n"/>
    </row>
    <row r="740" ht="15.75" customHeight="1" s="10">
      <c r="F740" s="7" t="n"/>
    </row>
    <row r="741" ht="15.75" customHeight="1" s="10">
      <c r="F741" s="7" t="n"/>
    </row>
    <row r="742" ht="15.75" customHeight="1" s="10">
      <c r="F742" s="7" t="n"/>
    </row>
    <row r="743" ht="15.75" customHeight="1" s="10">
      <c r="F743" s="7" t="n"/>
    </row>
    <row r="744" ht="15.75" customHeight="1" s="10">
      <c r="F744" s="7" t="n"/>
    </row>
    <row r="745" ht="15.75" customHeight="1" s="10">
      <c r="F745" s="7" t="n"/>
    </row>
    <row r="746" ht="15.75" customHeight="1" s="10">
      <c r="F746" s="7" t="n"/>
    </row>
    <row r="747" ht="15.75" customHeight="1" s="10">
      <c r="F747" s="7" t="n"/>
    </row>
    <row r="748" ht="15.75" customHeight="1" s="10">
      <c r="F748" s="7" t="n"/>
    </row>
    <row r="749" ht="15.75" customHeight="1" s="10">
      <c r="F749" s="7" t="n"/>
    </row>
    <row r="750" ht="15.75" customHeight="1" s="10">
      <c r="F750" s="7" t="n"/>
    </row>
    <row r="751" ht="15.75" customHeight="1" s="10">
      <c r="F751" s="7" t="n"/>
    </row>
    <row r="752" ht="15.75" customHeight="1" s="10">
      <c r="F752" s="7" t="n"/>
    </row>
    <row r="753" ht="15.75" customHeight="1" s="10">
      <c r="F753" s="7" t="n"/>
    </row>
    <row r="754" ht="15.75" customHeight="1" s="10">
      <c r="F754" s="7" t="n"/>
    </row>
    <row r="755" ht="15.75" customHeight="1" s="10">
      <c r="F755" s="7" t="n"/>
    </row>
    <row r="756" ht="15.75" customHeight="1" s="10">
      <c r="F756" s="7" t="n"/>
    </row>
    <row r="757" ht="15.75" customHeight="1" s="10">
      <c r="F757" s="7" t="n"/>
    </row>
    <row r="758" ht="15.75" customHeight="1" s="10">
      <c r="F758" s="7" t="n"/>
    </row>
    <row r="759" ht="15.75" customHeight="1" s="10">
      <c r="F759" s="7" t="n"/>
    </row>
    <row r="760" ht="15.75" customHeight="1" s="10">
      <c r="F760" s="7" t="n"/>
    </row>
    <row r="761" ht="15.75" customHeight="1" s="10">
      <c r="F761" s="7" t="n"/>
    </row>
    <row r="762" ht="15.75" customHeight="1" s="10">
      <c r="F762" s="7" t="n"/>
    </row>
    <row r="763" ht="15.75" customHeight="1" s="10">
      <c r="F763" s="7" t="n"/>
    </row>
    <row r="764" ht="15.75" customHeight="1" s="10">
      <c r="F764" s="7" t="n"/>
    </row>
    <row r="765" ht="15.75" customHeight="1" s="10">
      <c r="F765" s="7" t="n"/>
    </row>
    <row r="766" ht="15.75" customHeight="1" s="10">
      <c r="F766" s="7" t="n"/>
    </row>
    <row r="767" ht="15.75" customHeight="1" s="10">
      <c r="F767" s="7" t="n"/>
    </row>
    <row r="768" ht="15.75" customHeight="1" s="10">
      <c r="F768" s="7" t="n"/>
    </row>
    <row r="769" ht="15.75" customHeight="1" s="10">
      <c r="F769" s="7" t="n"/>
    </row>
    <row r="770" ht="15.75" customHeight="1" s="10">
      <c r="F770" s="7" t="n"/>
    </row>
    <row r="771" ht="15.75" customHeight="1" s="10">
      <c r="F771" s="7" t="n"/>
    </row>
    <row r="772" ht="15.75" customHeight="1" s="10">
      <c r="F772" s="7" t="n"/>
    </row>
    <row r="773" ht="15.75" customHeight="1" s="10">
      <c r="F773" s="7" t="n"/>
    </row>
    <row r="774" ht="15.75" customHeight="1" s="10">
      <c r="F774" s="7" t="n"/>
    </row>
    <row r="775" ht="15.75" customHeight="1" s="10">
      <c r="F775" s="7" t="n"/>
    </row>
    <row r="776" ht="15.75" customHeight="1" s="10">
      <c r="F776" s="7" t="n"/>
    </row>
    <row r="777" ht="15.75" customHeight="1" s="10">
      <c r="F777" s="7" t="n"/>
    </row>
    <row r="778" ht="15.75" customHeight="1" s="10">
      <c r="F778" s="7" t="n"/>
    </row>
    <row r="779" ht="15.75" customHeight="1" s="10">
      <c r="F779" s="7" t="n"/>
    </row>
    <row r="780" ht="15.75" customHeight="1" s="10">
      <c r="F780" s="7" t="n"/>
    </row>
    <row r="781" ht="15.75" customHeight="1" s="10">
      <c r="F781" s="7" t="n"/>
    </row>
    <row r="782" ht="15.75" customHeight="1" s="10">
      <c r="F782" s="7" t="n"/>
    </row>
    <row r="783" ht="15.75" customHeight="1" s="10">
      <c r="F783" s="7" t="n"/>
    </row>
    <row r="784" ht="15.75" customHeight="1" s="10">
      <c r="F784" s="7" t="n"/>
    </row>
    <row r="785" ht="15.75" customHeight="1" s="10">
      <c r="F785" s="7" t="n"/>
    </row>
    <row r="786" ht="15.75" customHeight="1" s="10">
      <c r="F786" s="7" t="n"/>
    </row>
    <row r="787" ht="15.75" customHeight="1" s="10">
      <c r="F787" s="7" t="n"/>
    </row>
    <row r="788" ht="15.75" customHeight="1" s="10">
      <c r="F788" s="7" t="n"/>
    </row>
    <row r="789" ht="15.75" customHeight="1" s="10">
      <c r="F789" s="7" t="n"/>
    </row>
    <row r="790" ht="15.75" customHeight="1" s="10">
      <c r="F790" s="7" t="n"/>
    </row>
    <row r="791" ht="15.75" customHeight="1" s="10">
      <c r="F791" s="7" t="n"/>
    </row>
    <row r="792" ht="15.75" customHeight="1" s="10">
      <c r="F792" s="7" t="n"/>
    </row>
    <row r="793" ht="15.75" customHeight="1" s="10">
      <c r="F793" s="7" t="n"/>
    </row>
    <row r="794" ht="15.75" customHeight="1" s="10">
      <c r="F794" s="7" t="n"/>
    </row>
    <row r="795" ht="15.75" customHeight="1" s="10">
      <c r="F795" s="7" t="n"/>
    </row>
    <row r="796" ht="15.75" customHeight="1" s="10">
      <c r="F796" s="7" t="n"/>
    </row>
    <row r="797" ht="15.75" customHeight="1" s="10">
      <c r="F797" s="7" t="n"/>
    </row>
    <row r="798" ht="15.75" customHeight="1" s="10">
      <c r="F798" s="7" t="n"/>
    </row>
    <row r="799" ht="15.75" customHeight="1" s="10">
      <c r="F799" s="7" t="n"/>
    </row>
    <row r="800" ht="15.75" customHeight="1" s="10">
      <c r="F800" s="7" t="n"/>
    </row>
    <row r="801" ht="15.75" customHeight="1" s="10">
      <c r="F801" s="7" t="n"/>
    </row>
    <row r="802" ht="15.75" customHeight="1" s="10">
      <c r="F802" s="7" t="n"/>
    </row>
    <row r="803" ht="15.75" customHeight="1" s="10">
      <c r="F803" s="7" t="n"/>
    </row>
    <row r="804" ht="15.75" customHeight="1" s="10">
      <c r="F804" s="7" t="n"/>
    </row>
    <row r="805" ht="15.75" customHeight="1" s="10">
      <c r="F805" s="7" t="n"/>
    </row>
    <row r="806" ht="15.75" customHeight="1" s="10">
      <c r="F806" s="7" t="n"/>
    </row>
    <row r="807" ht="15.75" customHeight="1" s="10">
      <c r="F807" s="7" t="n"/>
    </row>
    <row r="808" ht="15.75" customHeight="1" s="10">
      <c r="F808" s="7" t="n"/>
    </row>
    <row r="809" ht="15.75" customHeight="1" s="10">
      <c r="F809" s="7" t="n"/>
    </row>
    <row r="810" ht="15.75" customHeight="1" s="10">
      <c r="F810" s="7" t="n"/>
    </row>
    <row r="811" ht="15.75" customHeight="1" s="10">
      <c r="F811" s="7" t="n"/>
    </row>
    <row r="812" ht="15.75" customHeight="1" s="10">
      <c r="F812" s="7" t="n"/>
    </row>
    <row r="813" ht="15.75" customHeight="1" s="10">
      <c r="F813" s="7" t="n"/>
    </row>
    <row r="814" ht="15.75" customHeight="1" s="10">
      <c r="F814" s="7" t="n"/>
    </row>
    <row r="815" ht="15.75" customHeight="1" s="10">
      <c r="F815" s="7" t="n"/>
    </row>
    <row r="816" ht="15.75" customHeight="1" s="10">
      <c r="F816" s="7" t="n"/>
    </row>
    <row r="817" ht="15.75" customHeight="1" s="10">
      <c r="F817" s="7" t="n"/>
    </row>
    <row r="818" ht="15.75" customHeight="1" s="10">
      <c r="F818" s="7" t="n"/>
    </row>
    <row r="819" ht="15.75" customHeight="1" s="10">
      <c r="F819" s="7" t="n"/>
    </row>
    <row r="820" ht="15.75" customHeight="1" s="10">
      <c r="F820" s="7" t="n"/>
    </row>
    <row r="821" ht="15.75" customHeight="1" s="10">
      <c r="F821" s="7" t="n"/>
    </row>
    <row r="822" ht="15.75" customHeight="1" s="10">
      <c r="F822" s="7" t="n"/>
    </row>
    <row r="823" ht="15.75" customHeight="1" s="10">
      <c r="F823" s="7" t="n"/>
    </row>
    <row r="824" ht="15.75" customHeight="1" s="10">
      <c r="F824" s="7" t="n"/>
    </row>
    <row r="825" ht="15.75" customHeight="1" s="10">
      <c r="F825" s="7" t="n"/>
    </row>
    <row r="826" ht="15.75" customHeight="1" s="10">
      <c r="F826" s="7" t="n"/>
    </row>
    <row r="827" ht="15.75" customHeight="1" s="10">
      <c r="F827" s="7" t="n"/>
    </row>
    <row r="828" ht="15.75" customHeight="1" s="10">
      <c r="F828" s="7" t="n"/>
    </row>
    <row r="829" ht="15.75" customHeight="1" s="10">
      <c r="F829" s="7" t="n"/>
    </row>
    <row r="830" ht="15.75" customHeight="1" s="10">
      <c r="F830" s="7" t="n"/>
    </row>
    <row r="831" ht="15.75" customHeight="1" s="10">
      <c r="F831" s="7" t="n"/>
    </row>
    <row r="832" ht="15.75" customHeight="1" s="10">
      <c r="F832" s="7" t="n"/>
    </row>
    <row r="833" ht="15.75" customHeight="1" s="10">
      <c r="F833" s="7" t="n"/>
    </row>
    <row r="834" ht="15.75" customHeight="1" s="10">
      <c r="F834" s="7" t="n"/>
    </row>
    <row r="835" ht="15.75" customHeight="1" s="10">
      <c r="F835" s="7" t="n"/>
    </row>
    <row r="836" ht="15.75" customHeight="1" s="10">
      <c r="F836" s="7" t="n"/>
    </row>
    <row r="837" ht="15.75" customHeight="1" s="10">
      <c r="F837" s="7" t="n"/>
    </row>
    <row r="838" ht="15.75" customHeight="1" s="10">
      <c r="F838" s="7" t="n"/>
    </row>
    <row r="839" ht="15.75" customHeight="1" s="10">
      <c r="F839" s="7" t="n"/>
    </row>
    <row r="840" ht="15.75" customHeight="1" s="10">
      <c r="F840" s="7" t="n"/>
    </row>
    <row r="841" ht="15.75" customHeight="1" s="10">
      <c r="F841" s="7" t="n"/>
    </row>
    <row r="842" ht="15.75" customHeight="1" s="10">
      <c r="F842" s="7" t="n"/>
    </row>
    <row r="843" ht="15.75" customHeight="1" s="10">
      <c r="F843" s="7" t="n"/>
    </row>
    <row r="844" ht="15.75" customHeight="1" s="10">
      <c r="F844" s="7" t="n"/>
    </row>
    <row r="845" ht="15.75" customHeight="1" s="10">
      <c r="F845" s="7" t="n"/>
    </row>
    <row r="846" ht="15.75" customHeight="1" s="10">
      <c r="F846" s="7" t="n"/>
    </row>
    <row r="847" ht="15.75" customHeight="1" s="10">
      <c r="F847" s="7" t="n"/>
    </row>
    <row r="848" ht="15.75" customHeight="1" s="10">
      <c r="F848" s="7" t="n"/>
    </row>
    <row r="849" ht="15.75" customHeight="1" s="10">
      <c r="F849" s="7" t="n"/>
    </row>
    <row r="850" ht="15.75" customHeight="1" s="10">
      <c r="F850" s="7" t="n"/>
    </row>
    <row r="851" ht="15.75" customHeight="1" s="10">
      <c r="F851" s="7" t="n"/>
    </row>
    <row r="852" ht="15.75" customHeight="1" s="10">
      <c r="F852" s="7" t="n"/>
    </row>
    <row r="853" ht="15.75" customHeight="1" s="10">
      <c r="F853" s="7" t="n"/>
    </row>
    <row r="854" ht="15.75" customHeight="1" s="10">
      <c r="F854" s="7" t="n"/>
    </row>
    <row r="855" ht="15.75" customHeight="1" s="10">
      <c r="F855" s="7" t="n"/>
    </row>
    <row r="856" ht="15.75" customHeight="1" s="10">
      <c r="F856" s="7" t="n"/>
    </row>
    <row r="857" ht="15.75" customHeight="1" s="10">
      <c r="F857" s="7" t="n"/>
    </row>
    <row r="858" ht="15.75" customHeight="1" s="10">
      <c r="F858" s="7" t="n"/>
    </row>
    <row r="859" ht="15.75" customHeight="1" s="10">
      <c r="F859" s="7" t="n"/>
    </row>
    <row r="860" ht="15.75" customHeight="1" s="10">
      <c r="F860" s="7" t="n"/>
    </row>
    <row r="861" ht="15.75" customHeight="1" s="10">
      <c r="F861" s="7" t="n"/>
    </row>
    <row r="862" ht="15.75" customHeight="1" s="10">
      <c r="F862" s="7" t="n"/>
    </row>
    <row r="863" ht="15.75" customHeight="1" s="10">
      <c r="F863" s="7" t="n"/>
    </row>
    <row r="864" ht="15.75" customHeight="1" s="10">
      <c r="F864" s="7" t="n"/>
    </row>
    <row r="865" ht="15.75" customHeight="1" s="10">
      <c r="F865" s="7" t="n"/>
    </row>
    <row r="866" ht="15.75" customHeight="1" s="10">
      <c r="F866" s="7" t="n"/>
    </row>
    <row r="867" ht="15.75" customHeight="1" s="10">
      <c r="F867" s="7" t="n"/>
    </row>
    <row r="868" ht="15.75" customHeight="1" s="10">
      <c r="F868" s="7" t="n"/>
    </row>
    <row r="869" ht="15.75" customHeight="1" s="10">
      <c r="F869" s="7" t="n"/>
    </row>
    <row r="870" ht="15.75" customHeight="1" s="10">
      <c r="F870" s="7" t="n"/>
    </row>
    <row r="871" ht="15.75" customHeight="1" s="10">
      <c r="F871" s="7" t="n"/>
    </row>
    <row r="872" ht="15.75" customHeight="1" s="10">
      <c r="F872" s="7" t="n"/>
    </row>
    <row r="873" ht="15.75" customHeight="1" s="10">
      <c r="F873" s="7" t="n"/>
    </row>
    <row r="874" ht="15.75" customHeight="1" s="10">
      <c r="F874" s="7" t="n"/>
    </row>
    <row r="875" ht="15.75" customHeight="1" s="10">
      <c r="F875" s="7" t="n"/>
    </row>
    <row r="876" ht="15.75" customHeight="1" s="10">
      <c r="F876" s="7" t="n"/>
    </row>
    <row r="877" ht="15.75" customHeight="1" s="10">
      <c r="F877" s="7" t="n"/>
    </row>
    <row r="878" ht="15.75" customHeight="1" s="10">
      <c r="F878" s="7" t="n"/>
    </row>
    <row r="879" ht="15.75" customHeight="1" s="10">
      <c r="F879" s="7" t="n"/>
    </row>
    <row r="880" ht="15.75" customHeight="1" s="10">
      <c r="F880" s="7" t="n"/>
    </row>
    <row r="881" ht="15.75" customHeight="1" s="10">
      <c r="F881" s="7" t="n"/>
    </row>
    <row r="882" ht="15.75" customHeight="1" s="10">
      <c r="F882" s="7" t="n"/>
    </row>
    <row r="883" ht="15.75" customHeight="1" s="10">
      <c r="F883" s="7" t="n"/>
    </row>
    <row r="884" ht="15.75" customHeight="1" s="10">
      <c r="F884" s="7" t="n"/>
    </row>
    <row r="885" ht="15.75" customHeight="1" s="10">
      <c r="F885" s="7" t="n"/>
    </row>
    <row r="886" ht="15.75" customHeight="1" s="10">
      <c r="F886" s="7" t="n"/>
    </row>
    <row r="887" ht="15.75" customHeight="1" s="10">
      <c r="F887" s="7" t="n"/>
    </row>
    <row r="888" ht="15.75" customHeight="1" s="10">
      <c r="F888" s="7" t="n"/>
    </row>
    <row r="889" ht="15.75" customHeight="1" s="10">
      <c r="F889" s="7" t="n"/>
    </row>
    <row r="890" ht="15.75" customHeight="1" s="10">
      <c r="F890" s="7" t="n"/>
    </row>
    <row r="891" ht="15.75" customHeight="1" s="10">
      <c r="F891" s="7" t="n"/>
    </row>
    <row r="892" ht="15.75" customHeight="1" s="10">
      <c r="F892" s="7" t="n"/>
    </row>
    <row r="893" ht="15.75" customHeight="1" s="10">
      <c r="F893" s="7" t="n"/>
    </row>
    <row r="894" ht="15.75" customHeight="1" s="10">
      <c r="F894" s="7" t="n"/>
    </row>
    <row r="895" ht="15.75" customHeight="1" s="10">
      <c r="F895" s="7" t="n"/>
    </row>
    <row r="896" ht="15.75" customHeight="1" s="10">
      <c r="F896" s="7" t="n"/>
    </row>
    <row r="897" ht="15.75" customHeight="1" s="10">
      <c r="F897" s="7" t="n"/>
    </row>
    <row r="898" ht="15.75" customHeight="1" s="10">
      <c r="F898" s="7" t="n"/>
    </row>
    <row r="899" ht="15.75" customHeight="1" s="10">
      <c r="F899" s="7" t="n"/>
    </row>
    <row r="900" ht="15.75" customHeight="1" s="10">
      <c r="F900" s="7" t="n"/>
    </row>
    <row r="901" ht="15.75" customHeight="1" s="10">
      <c r="F901" s="7" t="n"/>
    </row>
    <row r="902" ht="15.75" customHeight="1" s="10">
      <c r="F902" s="7" t="n"/>
    </row>
    <row r="903" ht="15.75" customHeight="1" s="10">
      <c r="F903" s="7" t="n"/>
    </row>
    <row r="904" ht="15.75" customHeight="1" s="10">
      <c r="F904" s="7" t="n"/>
    </row>
    <row r="905" ht="15.75" customHeight="1" s="10">
      <c r="F905" s="7" t="n"/>
    </row>
    <row r="906" ht="15.75" customHeight="1" s="10">
      <c r="F906" s="7" t="n"/>
    </row>
    <row r="907" ht="15.75" customHeight="1" s="10">
      <c r="F907" s="7" t="n"/>
    </row>
    <row r="908" ht="15.75" customHeight="1" s="10">
      <c r="F908" s="7" t="n"/>
    </row>
    <row r="909" ht="15.75" customHeight="1" s="10">
      <c r="F909" s="7" t="n"/>
    </row>
    <row r="910" ht="15.75" customHeight="1" s="10">
      <c r="F910" s="7" t="n"/>
    </row>
    <row r="911" ht="15.75" customHeight="1" s="10">
      <c r="F911" s="7" t="n"/>
    </row>
    <row r="912" ht="15.75" customHeight="1" s="10">
      <c r="F912" s="7" t="n"/>
    </row>
    <row r="913" ht="15.75" customHeight="1" s="10">
      <c r="F913" s="7" t="n"/>
    </row>
    <row r="914" ht="15.75" customHeight="1" s="10">
      <c r="F914" s="7" t="n"/>
    </row>
    <row r="915" ht="15.75" customHeight="1" s="10">
      <c r="F915" s="7" t="n"/>
    </row>
    <row r="916" ht="15.75" customHeight="1" s="10">
      <c r="F916" s="7" t="n"/>
    </row>
    <row r="917" ht="15.75" customHeight="1" s="10">
      <c r="F917" s="7" t="n"/>
    </row>
    <row r="918" ht="15.75" customHeight="1" s="10">
      <c r="F918" s="7" t="n"/>
    </row>
    <row r="919" ht="15.75" customHeight="1" s="10">
      <c r="F919" s="7" t="n"/>
    </row>
    <row r="920" ht="15.75" customHeight="1" s="10">
      <c r="F920" s="7" t="n"/>
    </row>
    <row r="921" ht="15.75" customHeight="1" s="10">
      <c r="F921" s="7" t="n"/>
    </row>
    <row r="922" ht="15.75" customHeight="1" s="10">
      <c r="F922" s="7" t="n"/>
    </row>
    <row r="923" ht="15.75" customHeight="1" s="10">
      <c r="F923" s="7" t="n"/>
    </row>
    <row r="924" ht="15.75" customHeight="1" s="10">
      <c r="F924" s="7" t="n"/>
    </row>
    <row r="925" ht="15.75" customHeight="1" s="10">
      <c r="F925" s="7" t="n"/>
    </row>
    <row r="926" ht="15.75" customHeight="1" s="10">
      <c r="F926" s="7" t="n"/>
    </row>
    <row r="927" ht="15.75" customHeight="1" s="10">
      <c r="F927" s="7" t="n"/>
    </row>
    <row r="928" ht="15.75" customHeight="1" s="10">
      <c r="F928" s="7" t="n"/>
    </row>
    <row r="929" ht="15.75" customHeight="1" s="10">
      <c r="F929" s="7" t="n"/>
    </row>
    <row r="930" ht="15.75" customHeight="1" s="10">
      <c r="F930" s="7" t="n"/>
    </row>
    <row r="931" ht="15.75" customHeight="1" s="10">
      <c r="F931" s="7" t="n"/>
    </row>
    <row r="932" ht="15.75" customHeight="1" s="10">
      <c r="F932" s="7" t="n"/>
    </row>
    <row r="933" ht="15.75" customHeight="1" s="10">
      <c r="F933" s="7" t="n"/>
    </row>
    <row r="934" ht="15.75" customHeight="1" s="10">
      <c r="F934" s="7" t="n"/>
    </row>
    <row r="935" ht="15.75" customHeight="1" s="10">
      <c r="F935" s="7" t="n"/>
    </row>
    <row r="936" ht="15.75" customHeight="1" s="10">
      <c r="F936" s="7" t="n"/>
    </row>
    <row r="937" ht="15.75" customHeight="1" s="10">
      <c r="F937" s="7" t="n"/>
    </row>
    <row r="938" ht="15.75" customHeight="1" s="10">
      <c r="F938" s="7" t="n"/>
    </row>
    <row r="939" ht="15.75" customHeight="1" s="10">
      <c r="F939" s="7" t="n"/>
    </row>
    <row r="940" ht="15.75" customHeight="1" s="10">
      <c r="F940" s="7" t="n"/>
    </row>
    <row r="941" ht="15.75" customHeight="1" s="10">
      <c r="F941" s="7" t="n"/>
    </row>
    <row r="942" ht="15.75" customHeight="1" s="10">
      <c r="F942" s="7" t="n"/>
    </row>
    <row r="943" ht="15.75" customHeight="1" s="10">
      <c r="F943" s="7" t="n"/>
    </row>
    <row r="944" ht="15.75" customHeight="1" s="10">
      <c r="F944" s="7" t="n"/>
    </row>
    <row r="945" ht="15.75" customHeight="1" s="10">
      <c r="F945" s="7" t="n"/>
    </row>
    <row r="946" ht="15.75" customHeight="1" s="10">
      <c r="F946" s="7" t="n"/>
    </row>
    <row r="947" ht="15.75" customHeight="1" s="10">
      <c r="F947" s="7" t="n"/>
    </row>
    <row r="948" ht="15.75" customHeight="1" s="10">
      <c r="F948" s="7" t="n"/>
    </row>
    <row r="949" ht="15.75" customHeight="1" s="10">
      <c r="F949" s="7" t="n"/>
    </row>
    <row r="950" ht="15.75" customHeight="1" s="10">
      <c r="F950" s="7" t="n"/>
    </row>
    <row r="951" ht="15.75" customHeight="1" s="10">
      <c r="F951" s="7" t="n"/>
    </row>
    <row r="952" ht="15.75" customHeight="1" s="10">
      <c r="F952" s="7" t="n"/>
    </row>
    <row r="953" ht="15.75" customHeight="1" s="10">
      <c r="F953" s="7" t="n"/>
    </row>
    <row r="954" ht="15.75" customHeight="1" s="10">
      <c r="F954" s="7" t="n"/>
    </row>
    <row r="955" ht="15.75" customHeight="1" s="10">
      <c r="F955" s="7" t="n"/>
    </row>
    <row r="956" ht="15.75" customHeight="1" s="10">
      <c r="F956" s="7" t="n"/>
    </row>
    <row r="957" ht="15.75" customHeight="1" s="10">
      <c r="F957" s="7" t="n"/>
    </row>
    <row r="958" ht="15.75" customHeight="1" s="10">
      <c r="F958" s="7" t="n"/>
    </row>
    <row r="959" ht="15.75" customHeight="1" s="10">
      <c r="F959" s="7" t="n"/>
    </row>
    <row r="960" ht="15.75" customHeight="1" s="10">
      <c r="F960" s="7" t="n"/>
    </row>
    <row r="961" ht="15.75" customHeight="1" s="10">
      <c r="F961" s="7" t="n"/>
    </row>
    <row r="962" ht="15.75" customHeight="1" s="10">
      <c r="F962" s="7" t="n"/>
    </row>
    <row r="963" ht="15.75" customHeight="1" s="10">
      <c r="F963" s="7" t="n"/>
    </row>
    <row r="964" ht="15.75" customHeight="1" s="10">
      <c r="F964" s="7" t="n"/>
    </row>
    <row r="965" ht="15.75" customHeight="1" s="10">
      <c r="F965" s="7" t="n"/>
    </row>
    <row r="966" ht="15.75" customHeight="1" s="10">
      <c r="F966" s="7" t="n"/>
    </row>
    <row r="967" ht="15.75" customHeight="1" s="10">
      <c r="F967" s="7" t="n"/>
    </row>
    <row r="968" ht="15.75" customHeight="1" s="10">
      <c r="F968" s="7" t="n"/>
    </row>
    <row r="969" ht="15.75" customHeight="1" s="10">
      <c r="F969" s="7" t="n"/>
    </row>
    <row r="970" ht="15.75" customHeight="1" s="10">
      <c r="F970" s="7" t="n"/>
    </row>
    <row r="971" ht="15.75" customHeight="1" s="10">
      <c r="F971" s="7" t="n"/>
    </row>
    <row r="972" ht="15.75" customHeight="1" s="10">
      <c r="F972" s="7" t="n"/>
    </row>
    <row r="973" ht="15.75" customHeight="1" s="10">
      <c r="F973" s="7" t="n"/>
    </row>
    <row r="974" ht="15.75" customHeight="1" s="10">
      <c r="F974" s="7" t="n"/>
    </row>
    <row r="975" ht="15.75" customHeight="1" s="10">
      <c r="F975" s="7" t="n"/>
    </row>
    <row r="976" ht="15.75" customHeight="1" s="10">
      <c r="F976" s="7" t="n"/>
    </row>
    <row r="977" ht="15.75" customHeight="1" s="10">
      <c r="F977" s="7" t="n"/>
    </row>
    <row r="978" ht="15.75" customHeight="1" s="10">
      <c r="F978" s="7" t="n"/>
    </row>
    <row r="979" ht="15.75" customHeight="1" s="10">
      <c r="F979" s="7" t="n"/>
    </row>
    <row r="980" ht="15.75" customHeight="1" s="10">
      <c r="F980" s="7" t="n"/>
    </row>
    <row r="981" ht="15.75" customHeight="1" s="10">
      <c r="F981" s="7" t="n"/>
    </row>
    <row r="982" ht="15.75" customHeight="1" s="10">
      <c r="F982" s="7" t="n"/>
    </row>
    <row r="983" ht="15.75" customHeight="1" s="10">
      <c r="F983" s="7" t="n"/>
    </row>
    <row r="984" ht="15.75" customHeight="1" s="10">
      <c r="F984" s="7" t="n"/>
    </row>
    <row r="985" ht="15.75" customHeight="1" s="10">
      <c r="F985" s="7" t="n"/>
    </row>
    <row r="986" ht="15.75" customHeight="1" s="10">
      <c r="F986" s="7" t="n"/>
    </row>
    <row r="987" ht="15.75" customHeight="1" s="10">
      <c r="F987" s="7" t="n"/>
    </row>
    <row r="988" ht="15.75" customHeight="1" s="10">
      <c r="F988" s="7" t="n"/>
    </row>
    <row r="989" ht="15.75" customHeight="1" s="10">
      <c r="F989" s="7" t="n"/>
    </row>
    <row r="990" ht="15.75" customHeight="1" s="10">
      <c r="F990" s="7" t="n"/>
    </row>
    <row r="991" ht="15.75" customHeight="1" s="10">
      <c r="F991" s="7" t="n"/>
    </row>
    <row r="992" ht="15.75" customHeight="1" s="10">
      <c r="F992" s="7" t="n"/>
    </row>
    <row r="993" ht="15.75" customHeight="1" s="10">
      <c r="F993" s="7" t="n"/>
    </row>
    <row r="994" ht="15.75" customHeight="1" s="10">
      <c r="F994" s="7" t="n"/>
    </row>
    <row r="995" ht="15.75" customHeight="1" s="10">
      <c r="F995" s="7" t="n"/>
    </row>
    <row r="996" ht="15.75" customHeight="1" s="10">
      <c r="F996" s="7" t="n"/>
    </row>
    <row r="997" ht="15.75" customHeight="1" s="10">
      <c r="F997" s="7" t="n"/>
    </row>
    <row r="998" ht="15.75" customHeight="1" s="10">
      <c r="F998" s="7" t="n"/>
    </row>
    <row r="999" ht="15.75" customHeight="1" s="10">
      <c r="F999" s="7" t="n"/>
    </row>
    <row r="1000" ht="15.75" customHeight="1" s="10">
      <c r="F1000" s="7"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C1239"/>
  <sheetViews>
    <sheetView workbookViewId="0">
      <selection activeCell="A1" sqref="A1"/>
    </sheetView>
  </sheetViews>
  <sheetFormatPr baseColWidth="8" defaultRowHeight="15"/>
  <cols>
    <col width="12" customWidth="1" style="10" min="1" max="1"/>
  </cols>
  <sheetData>
    <row r="1">
      <c r="A1" s="11" t="inlineStr">
        <is>
          <t>date</t>
        </is>
      </c>
      <c r="B1" s="11" t="inlineStr">
        <is>
          <t>lunar_month</t>
        </is>
      </c>
      <c r="C1" s="11" t="inlineStr">
        <is>
          <t>lunar_day</t>
        </is>
      </c>
    </row>
    <row r="2">
      <c r="A2" s="12" t="n">
        <v>46246</v>
      </c>
      <c r="B2" s="0" t="inlineStr">
        <is>
          <t>六月</t>
        </is>
      </c>
      <c r="C2" s="0" t="inlineStr">
        <is>
          <t>三十</t>
        </is>
      </c>
    </row>
    <row r="3">
      <c r="A3" s="12" t="n">
        <v>46247</v>
      </c>
      <c r="B3" s="0" t="inlineStr">
        <is>
          <t>七月</t>
        </is>
      </c>
      <c r="C3" s="0" t="inlineStr">
        <is>
          <t>初一</t>
        </is>
      </c>
    </row>
    <row r="4">
      <c r="A4" s="12" t="n">
        <v>46248</v>
      </c>
      <c r="B4" s="0" t="inlineStr">
        <is>
          <t>七月</t>
        </is>
      </c>
      <c r="C4" s="0" t="inlineStr">
        <is>
          <t>初二</t>
        </is>
      </c>
    </row>
    <row r="5">
      <c r="A5" s="12" t="n">
        <v>46249</v>
      </c>
      <c r="B5" s="0" t="inlineStr">
        <is>
          <t>七月</t>
        </is>
      </c>
      <c r="C5" s="0" t="inlineStr">
        <is>
          <t>初三</t>
        </is>
      </c>
    </row>
    <row r="6">
      <c r="A6" s="12" t="n">
        <v>46250</v>
      </c>
      <c r="B6" s="0" t="inlineStr">
        <is>
          <t>七月</t>
        </is>
      </c>
      <c r="C6" s="0" t="inlineStr">
        <is>
          <t>初四</t>
        </is>
      </c>
    </row>
    <row r="7">
      <c r="A7" s="12" t="n">
        <v>46251</v>
      </c>
      <c r="B7" s="0" t="inlineStr">
        <is>
          <t>七月</t>
        </is>
      </c>
      <c r="C7" s="0" t="inlineStr">
        <is>
          <t>初五</t>
        </is>
      </c>
    </row>
    <row r="8">
      <c r="A8" s="12" t="n">
        <v>46252</v>
      </c>
      <c r="B8" s="0" t="inlineStr">
        <is>
          <t>七月</t>
        </is>
      </c>
      <c r="C8" s="0" t="inlineStr">
        <is>
          <t>初六</t>
        </is>
      </c>
    </row>
    <row r="9">
      <c r="A9" s="12" t="n">
        <v>46253</v>
      </c>
      <c r="B9" s="0" t="inlineStr">
        <is>
          <t>七月</t>
        </is>
      </c>
      <c r="C9" s="0" t="inlineStr">
        <is>
          <t>初七</t>
        </is>
      </c>
    </row>
    <row r="10">
      <c r="A10" s="12" t="n">
        <v>46254</v>
      </c>
      <c r="B10" s="0" t="inlineStr">
        <is>
          <t>七月</t>
        </is>
      </c>
      <c r="C10" s="0" t="inlineStr">
        <is>
          <t>初八</t>
        </is>
      </c>
    </row>
    <row r="11">
      <c r="A11" s="12" t="n">
        <v>46255</v>
      </c>
      <c r="B11" s="0" t="inlineStr">
        <is>
          <t>七月</t>
        </is>
      </c>
      <c r="C11" s="0" t="inlineStr">
        <is>
          <t>初九</t>
        </is>
      </c>
    </row>
    <row r="12">
      <c r="A12" s="12" t="n">
        <v>46256</v>
      </c>
      <c r="B12" s="0" t="inlineStr">
        <is>
          <t>七月</t>
        </is>
      </c>
      <c r="C12" s="0" t="inlineStr">
        <is>
          <t>初十</t>
        </is>
      </c>
    </row>
    <row r="13">
      <c r="A13" s="12" t="n">
        <v>46257</v>
      </c>
      <c r="B13" s="0" t="inlineStr">
        <is>
          <t>七月</t>
        </is>
      </c>
      <c r="C13" s="0" t="inlineStr">
        <is>
          <t>十一</t>
        </is>
      </c>
    </row>
    <row r="14">
      <c r="A14" s="12" t="n">
        <v>46258</v>
      </c>
      <c r="B14" s="0" t="inlineStr">
        <is>
          <t>七月</t>
        </is>
      </c>
      <c r="C14" s="0" t="inlineStr">
        <is>
          <t>十二</t>
        </is>
      </c>
    </row>
    <row r="15">
      <c r="A15" s="12" t="n">
        <v>46259</v>
      </c>
      <c r="B15" s="0" t="inlineStr">
        <is>
          <t>七月</t>
        </is>
      </c>
      <c r="C15" s="0" t="inlineStr">
        <is>
          <t>十三</t>
        </is>
      </c>
    </row>
    <row r="16">
      <c r="A16" s="12" t="n">
        <v>46260</v>
      </c>
      <c r="B16" s="0" t="inlineStr">
        <is>
          <t>七月</t>
        </is>
      </c>
      <c r="C16" s="0" t="inlineStr">
        <is>
          <t>十四</t>
        </is>
      </c>
    </row>
    <row r="17">
      <c r="A17" s="12" t="n">
        <v>46261</v>
      </c>
      <c r="B17" s="0" t="inlineStr">
        <is>
          <t>七月</t>
        </is>
      </c>
      <c r="C17" s="0" t="inlineStr">
        <is>
          <t>十五</t>
        </is>
      </c>
    </row>
    <row r="18">
      <c r="A18" s="12" t="n">
        <v>46262</v>
      </c>
      <c r="B18" s="0" t="inlineStr">
        <is>
          <t>七月</t>
        </is>
      </c>
      <c r="C18" s="0" t="inlineStr">
        <is>
          <t>十六</t>
        </is>
      </c>
    </row>
    <row r="19">
      <c r="A19" s="12" t="n">
        <v>46263</v>
      </c>
      <c r="B19" s="0" t="inlineStr">
        <is>
          <t>七月</t>
        </is>
      </c>
      <c r="C19" s="0" t="inlineStr">
        <is>
          <t>十七</t>
        </is>
      </c>
    </row>
    <row r="20">
      <c r="A20" s="12" t="n">
        <v>46264</v>
      </c>
      <c r="B20" s="0" t="inlineStr">
        <is>
          <t>七月</t>
        </is>
      </c>
      <c r="C20" s="0" t="inlineStr">
        <is>
          <t>十八</t>
        </is>
      </c>
    </row>
    <row r="21">
      <c r="A21" s="12" t="n">
        <v>46265</v>
      </c>
      <c r="B21" s="0" t="inlineStr">
        <is>
          <t>七月</t>
        </is>
      </c>
      <c r="C21" s="0" t="inlineStr">
        <is>
          <t>十九</t>
        </is>
      </c>
    </row>
    <row r="22">
      <c r="A22" s="12" t="n">
        <v>46266</v>
      </c>
      <c r="B22" s="0" t="inlineStr">
        <is>
          <t>七月</t>
        </is>
      </c>
      <c r="C22" s="0" t="inlineStr">
        <is>
          <t>二十</t>
        </is>
      </c>
    </row>
    <row r="23">
      <c r="A23" s="12" t="n">
        <v>46267</v>
      </c>
      <c r="B23" s="0" t="inlineStr">
        <is>
          <t>七月</t>
        </is>
      </c>
      <c r="C23" s="0" t="inlineStr">
        <is>
          <t>廿一</t>
        </is>
      </c>
    </row>
    <row r="24">
      <c r="A24" s="12" t="n">
        <v>46268</v>
      </c>
      <c r="B24" s="0" t="inlineStr">
        <is>
          <t>七月</t>
        </is>
      </c>
      <c r="C24" s="0" t="inlineStr">
        <is>
          <t>廿二</t>
        </is>
      </c>
    </row>
    <row r="25">
      <c r="A25" s="12" t="n">
        <v>46269</v>
      </c>
      <c r="B25" s="0" t="inlineStr">
        <is>
          <t>七月</t>
        </is>
      </c>
      <c r="C25" s="0" t="inlineStr">
        <is>
          <t>廿三</t>
        </is>
      </c>
    </row>
    <row r="26">
      <c r="A26" s="12" t="n">
        <v>46270</v>
      </c>
      <c r="B26" s="0" t="inlineStr">
        <is>
          <t>七月</t>
        </is>
      </c>
      <c r="C26" s="0" t="inlineStr">
        <is>
          <t>廿四</t>
        </is>
      </c>
    </row>
    <row r="27">
      <c r="A27" s="12" t="n">
        <v>46271</v>
      </c>
      <c r="B27" s="0" t="inlineStr">
        <is>
          <t>七月</t>
        </is>
      </c>
      <c r="C27" s="0" t="inlineStr">
        <is>
          <t>廿五</t>
        </is>
      </c>
    </row>
    <row r="28">
      <c r="A28" s="12" t="n">
        <v>46272</v>
      </c>
      <c r="B28" s="0" t="inlineStr">
        <is>
          <t>七月</t>
        </is>
      </c>
      <c r="C28" s="0" t="inlineStr">
        <is>
          <t>廿六</t>
        </is>
      </c>
    </row>
    <row r="29">
      <c r="A29" s="12" t="n">
        <v>46273</v>
      </c>
      <c r="B29" s="0" t="inlineStr">
        <is>
          <t>七月</t>
        </is>
      </c>
      <c r="C29" s="0" t="inlineStr">
        <is>
          <t>廿七</t>
        </is>
      </c>
    </row>
    <row r="30">
      <c r="A30" s="12" t="n">
        <v>46274</v>
      </c>
      <c r="B30" s="0" t="inlineStr">
        <is>
          <t>七月</t>
        </is>
      </c>
      <c r="C30" s="0" t="inlineStr">
        <is>
          <t>廿八</t>
        </is>
      </c>
    </row>
    <row r="31">
      <c r="A31" s="12" t="n">
        <v>46275</v>
      </c>
      <c r="B31" s="0" t="inlineStr">
        <is>
          <t>七月</t>
        </is>
      </c>
      <c r="C31" s="0" t="inlineStr">
        <is>
          <t>廿九</t>
        </is>
      </c>
    </row>
    <row r="32">
      <c r="A32" s="12" t="n">
        <v>46276</v>
      </c>
      <c r="B32" s="0" t="inlineStr">
        <is>
          <t>八月</t>
        </is>
      </c>
      <c r="C32" s="0" t="inlineStr">
        <is>
          <t>初一</t>
        </is>
      </c>
    </row>
    <row r="33">
      <c r="A33" s="12" t="n">
        <v>46277</v>
      </c>
      <c r="B33" s="0" t="inlineStr">
        <is>
          <t>八月</t>
        </is>
      </c>
      <c r="C33" s="0" t="inlineStr">
        <is>
          <t>初二</t>
        </is>
      </c>
    </row>
    <row r="34">
      <c r="A34" s="12" t="n">
        <v>46278</v>
      </c>
      <c r="B34" s="0" t="inlineStr">
        <is>
          <t>八月</t>
        </is>
      </c>
      <c r="C34" s="0" t="inlineStr">
        <is>
          <t>初三</t>
        </is>
      </c>
    </row>
    <row r="35">
      <c r="A35" s="12" t="n">
        <v>46279</v>
      </c>
      <c r="B35" s="0" t="inlineStr">
        <is>
          <t>八月</t>
        </is>
      </c>
      <c r="C35" s="0" t="inlineStr">
        <is>
          <t>初四</t>
        </is>
      </c>
    </row>
    <row r="36">
      <c r="A36" s="12" t="n">
        <v>46280</v>
      </c>
      <c r="B36" s="0" t="inlineStr">
        <is>
          <t>八月</t>
        </is>
      </c>
      <c r="C36" s="0" t="inlineStr">
        <is>
          <t>初五</t>
        </is>
      </c>
    </row>
    <row r="37">
      <c r="A37" s="12" t="n">
        <v>46281</v>
      </c>
      <c r="B37" s="0" t="inlineStr">
        <is>
          <t>八月</t>
        </is>
      </c>
      <c r="C37" s="0" t="inlineStr">
        <is>
          <t>初六</t>
        </is>
      </c>
    </row>
    <row r="38">
      <c r="A38" s="12" t="n">
        <v>46282</v>
      </c>
      <c r="B38" s="0" t="inlineStr">
        <is>
          <t>八月</t>
        </is>
      </c>
      <c r="C38" s="0" t="inlineStr">
        <is>
          <t>初七</t>
        </is>
      </c>
    </row>
    <row r="39">
      <c r="A39" s="12" t="n">
        <v>46283</v>
      </c>
      <c r="B39" s="0" t="inlineStr">
        <is>
          <t>八月</t>
        </is>
      </c>
      <c r="C39" s="0" t="inlineStr">
        <is>
          <t>初八</t>
        </is>
      </c>
    </row>
    <row r="40">
      <c r="A40" s="12" t="n">
        <v>46284</v>
      </c>
      <c r="B40" s="0" t="inlineStr">
        <is>
          <t>八月</t>
        </is>
      </c>
      <c r="C40" s="0" t="inlineStr">
        <is>
          <t>初九</t>
        </is>
      </c>
    </row>
    <row r="41">
      <c r="A41" s="12" t="n">
        <v>46285</v>
      </c>
      <c r="B41" s="0" t="inlineStr">
        <is>
          <t>八月</t>
        </is>
      </c>
      <c r="C41" s="0" t="inlineStr">
        <is>
          <t>初十</t>
        </is>
      </c>
    </row>
    <row r="42">
      <c r="A42" s="12" t="n">
        <v>46286</v>
      </c>
      <c r="B42" s="0" t="inlineStr">
        <is>
          <t>八月</t>
        </is>
      </c>
      <c r="C42" s="0" t="inlineStr">
        <is>
          <t>十一</t>
        </is>
      </c>
    </row>
    <row r="43">
      <c r="A43" s="12" t="n">
        <v>46287</v>
      </c>
      <c r="B43" s="0" t="inlineStr">
        <is>
          <t>八月</t>
        </is>
      </c>
      <c r="C43" s="0" t="inlineStr">
        <is>
          <t>十二</t>
        </is>
      </c>
    </row>
    <row r="44">
      <c r="A44" s="12" t="n">
        <v>46288</v>
      </c>
      <c r="B44" s="0" t="inlineStr">
        <is>
          <t>八月</t>
        </is>
      </c>
      <c r="C44" s="0" t="inlineStr">
        <is>
          <t>十三</t>
        </is>
      </c>
    </row>
    <row r="45">
      <c r="A45" s="12" t="n">
        <v>46289</v>
      </c>
      <c r="B45" s="0" t="inlineStr">
        <is>
          <t>八月</t>
        </is>
      </c>
      <c r="C45" s="0" t="inlineStr">
        <is>
          <t>十四</t>
        </is>
      </c>
    </row>
    <row r="46">
      <c r="A46" s="12" t="n">
        <v>46290</v>
      </c>
      <c r="B46" s="0" t="inlineStr">
        <is>
          <t>八月</t>
        </is>
      </c>
      <c r="C46" s="0" t="inlineStr">
        <is>
          <t>十五</t>
        </is>
      </c>
    </row>
    <row r="47">
      <c r="A47" s="12" t="n">
        <v>46291</v>
      </c>
      <c r="B47" s="0" t="inlineStr">
        <is>
          <t>八月</t>
        </is>
      </c>
      <c r="C47" s="0" t="inlineStr">
        <is>
          <t>十六</t>
        </is>
      </c>
    </row>
    <row r="48">
      <c r="A48" s="12" t="n">
        <v>46292</v>
      </c>
      <c r="B48" s="0" t="inlineStr">
        <is>
          <t>八月</t>
        </is>
      </c>
      <c r="C48" s="0" t="inlineStr">
        <is>
          <t>十七</t>
        </is>
      </c>
    </row>
    <row r="49">
      <c r="A49" s="12" t="n">
        <v>46293</v>
      </c>
      <c r="B49" s="0" t="inlineStr">
        <is>
          <t>八月</t>
        </is>
      </c>
      <c r="C49" s="0" t="inlineStr">
        <is>
          <t>十八</t>
        </is>
      </c>
    </row>
    <row r="50">
      <c r="A50" s="12" t="n">
        <v>46294</v>
      </c>
      <c r="B50" s="0" t="inlineStr">
        <is>
          <t>八月</t>
        </is>
      </c>
      <c r="C50" s="0" t="inlineStr">
        <is>
          <t>十九</t>
        </is>
      </c>
    </row>
    <row r="51">
      <c r="A51" s="12" t="n">
        <v>46295</v>
      </c>
      <c r="B51" s="0" t="inlineStr">
        <is>
          <t>八月</t>
        </is>
      </c>
      <c r="C51" s="0" t="inlineStr">
        <is>
          <t>二十</t>
        </is>
      </c>
    </row>
    <row r="52">
      <c r="A52" s="12" t="n">
        <v>46296</v>
      </c>
      <c r="B52" s="0" t="inlineStr">
        <is>
          <t>八月</t>
        </is>
      </c>
      <c r="C52" s="0" t="inlineStr">
        <is>
          <t>廿一</t>
        </is>
      </c>
    </row>
    <row r="53">
      <c r="A53" s="12" t="n">
        <v>46297</v>
      </c>
      <c r="B53" s="0" t="inlineStr">
        <is>
          <t>八月</t>
        </is>
      </c>
      <c r="C53" s="0" t="inlineStr">
        <is>
          <t>廿二</t>
        </is>
      </c>
    </row>
    <row r="54">
      <c r="A54" s="12" t="n">
        <v>46298</v>
      </c>
      <c r="B54" s="0" t="inlineStr">
        <is>
          <t>八月</t>
        </is>
      </c>
      <c r="C54" s="0" t="inlineStr">
        <is>
          <t>廿三</t>
        </is>
      </c>
    </row>
    <row r="55">
      <c r="A55" s="12" t="n">
        <v>46299</v>
      </c>
      <c r="B55" s="0" t="inlineStr">
        <is>
          <t>八月</t>
        </is>
      </c>
      <c r="C55" s="0" t="inlineStr">
        <is>
          <t>廿四</t>
        </is>
      </c>
    </row>
    <row r="56">
      <c r="A56" s="12" t="n">
        <v>46300</v>
      </c>
      <c r="B56" s="0" t="inlineStr">
        <is>
          <t>八月</t>
        </is>
      </c>
      <c r="C56" s="0" t="inlineStr">
        <is>
          <t>廿五</t>
        </is>
      </c>
    </row>
    <row r="57">
      <c r="A57" s="12" t="n">
        <v>46301</v>
      </c>
      <c r="B57" s="0" t="inlineStr">
        <is>
          <t>八月</t>
        </is>
      </c>
      <c r="C57" s="0" t="inlineStr">
        <is>
          <t>廿六</t>
        </is>
      </c>
    </row>
    <row r="58">
      <c r="A58" s="12" t="n">
        <v>46302</v>
      </c>
      <c r="B58" s="0" t="inlineStr">
        <is>
          <t>八月</t>
        </is>
      </c>
      <c r="C58" s="0" t="inlineStr">
        <is>
          <t>廿七</t>
        </is>
      </c>
    </row>
    <row r="59">
      <c r="A59" s="12" t="n">
        <v>46303</v>
      </c>
      <c r="B59" s="0" t="inlineStr">
        <is>
          <t>八月</t>
        </is>
      </c>
      <c r="C59" s="0" t="inlineStr">
        <is>
          <t>廿八</t>
        </is>
      </c>
    </row>
    <row r="60">
      <c r="A60" s="12" t="n">
        <v>46304</v>
      </c>
      <c r="B60" s="0" t="inlineStr">
        <is>
          <t>八月</t>
        </is>
      </c>
      <c r="C60" s="0" t="inlineStr">
        <is>
          <t>廿九</t>
        </is>
      </c>
    </row>
    <row r="61">
      <c r="A61" s="12" t="n">
        <v>46305</v>
      </c>
      <c r="B61" s="0" t="inlineStr">
        <is>
          <t>九月</t>
        </is>
      </c>
      <c r="C61" s="0" t="inlineStr">
        <is>
          <t>初一</t>
        </is>
      </c>
    </row>
    <row r="62">
      <c r="A62" s="12" t="n">
        <v>46306</v>
      </c>
      <c r="B62" s="0" t="inlineStr">
        <is>
          <t>九月</t>
        </is>
      </c>
      <c r="C62" s="0" t="inlineStr">
        <is>
          <t>初二</t>
        </is>
      </c>
    </row>
    <row r="63">
      <c r="A63" s="12" t="n">
        <v>46307</v>
      </c>
      <c r="B63" s="0" t="inlineStr">
        <is>
          <t>九月</t>
        </is>
      </c>
      <c r="C63" s="0" t="inlineStr">
        <is>
          <t>初三</t>
        </is>
      </c>
    </row>
    <row r="64">
      <c r="A64" s="12" t="n">
        <v>46308</v>
      </c>
      <c r="B64" s="0" t="inlineStr">
        <is>
          <t>九月</t>
        </is>
      </c>
      <c r="C64" s="0" t="inlineStr">
        <is>
          <t>初四</t>
        </is>
      </c>
    </row>
    <row r="65">
      <c r="A65" s="12" t="n">
        <v>46309</v>
      </c>
      <c r="B65" s="0" t="inlineStr">
        <is>
          <t>九月</t>
        </is>
      </c>
      <c r="C65" s="0" t="inlineStr">
        <is>
          <t>初五</t>
        </is>
      </c>
    </row>
    <row r="66">
      <c r="A66" s="12" t="n">
        <v>46310</v>
      </c>
      <c r="B66" s="0" t="inlineStr">
        <is>
          <t>九月</t>
        </is>
      </c>
      <c r="C66" s="0" t="inlineStr">
        <is>
          <t>初六</t>
        </is>
      </c>
    </row>
    <row r="67">
      <c r="A67" s="12" t="n">
        <v>46311</v>
      </c>
      <c r="B67" s="0" t="inlineStr">
        <is>
          <t>九月</t>
        </is>
      </c>
      <c r="C67" s="0" t="inlineStr">
        <is>
          <t>初七</t>
        </is>
      </c>
    </row>
    <row r="68">
      <c r="A68" s="12" t="n">
        <v>46312</v>
      </c>
      <c r="B68" s="0" t="inlineStr">
        <is>
          <t>九月</t>
        </is>
      </c>
      <c r="C68" s="0" t="inlineStr">
        <is>
          <t>初八</t>
        </is>
      </c>
    </row>
    <row r="69">
      <c r="A69" s="12" t="n">
        <v>46313</v>
      </c>
      <c r="B69" s="0" t="inlineStr">
        <is>
          <t>九月</t>
        </is>
      </c>
      <c r="C69" s="0" t="inlineStr">
        <is>
          <t>初九</t>
        </is>
      </c>
    </row>
    <row r="70">
      <c r="A70" s="12" t="n">
        <v>46314</v>
      </c>
      <c r="B70" s="0" t="inlineStr">
        <is>
          <t>九月</t>
        </is>
      </c>
      <c r="C70" s="0" t="inlineStr">
        <is>
          <t>初十</t>
        </is>
      </c>
    </row>
    <row r="71">
      <c r="A71" s="12" t="n">
        <v>46315</v>
      </c>
      <c r="B71" s="0" t="inlineStr">
        <is>
          <t>九月</t>
        </is>
      </c>
      <c r="C71" s="0" t="inlineStr">
        <is>
          <t>十一</t>
        </is>
      </c>
    </row>
    <row r="72">
      <c r="A72" s="12" t="n">
        <v>46316</v>
      </c>
      <c r="B72" s="0" t="inlineStr">
        <is>
          <t>九月</t>
        </is>
      </c>
      <c r="C72" s="0" t="inlineStr">
        <is>
          <t>十二</t>
        </is>
      </c>
    </row>
    <row r="73">
      <c r="A73" s="12" t="n">
        <v>46317</v>
      </c>
      <c r="B73" s="0" t="inlineStr">
        <is>
          <t>九月</t>
        </is>
      </c>
      <c r="C73" s="0" t="inlineStr">
        <is>
          <t>十三</t>
        </is>
      </c>
    </row>
    <row r="74">
      <c r="A74" s="12" t="n">
        <v>46318</v>
      </c>
      <c r="B74" s="0" t="inlineStr">
        <is>
          <t>九月</t>
        </is>
      </c>
      <c r="C74" s="0" t="inlineStr">
        <is>
          <t>十四</t>
        </is>
      </c>
    </row>
    <row r="75">
      <c r="A75" s="12" t="n">
        <v>46319</v>
      </c>
      <c r="B75" s="0" t="inlineStr">
        <is>
          <t>九月</t>
        </is>
      </c>
      <c r="C75" s="0" t="inlineStr">
        <is>
          <t>十五</t>
        </is>
      </c>
    </row>
    <row r="76">
      <c r="A76" s="12" t="n">
        <v>46320</v>
      </c>
      <c r="B76" s="0" t="inlineStr">
        <is>
          <t>九月</t>
        </is>
      </c>
      <c r="C76" s="0" t="inlineStr">
        <is>
          <t>十六</t>
        </is>
      </c>
    </row>
    <row r="77">
      <c r="A77" s="12" t="n">
        <v>46321</v>
      </c>
      <c r="B77" s="0" t="inlineStr">
        <is>
          <t>九月</t>
        </is>
      </c>
      <c r="C77" s="0" t="inlineStr">
        <is>
          <t>十七</t>
        </is>
      </c>
    </row>
    <row r="78">
      <c r="A78" s="12" t="n">
        <v>46322</v>
      </c>
      <c r="B78" s="0" t="inlineStr">
        <is>
          <t>九月</t>
        </is>
      </c>
      <c r="C78" s="0" t="inlineStr">
        <is>
          <t>十八</t>
        </is>
      </c>
    </row>
    <row r="79">
      <c r="A79" s="12" t="n">
        <v>46323</v>
      </c>
      <c r="B79" s="0" t="inlineStr">
        <is>
          <t>九月</t>
        </is>
      </c>
      <c r="C79" s="0" t="inlineStr">
        <is>
          <t>十九</t>
        </is>
      </c>
    </row>
    <row r="80">
      <c r="A80" s="12" t="n">
        <v>46324</v>
      </c>
      <c r="B80" s="0" t="inlineStr">
        <is>
          <t>九月</t>
        </is>
      </c>
      <c r="C80" s="0" t="inlineStr">
        <is>
          <t>二十</t>
        </is>
      </c>
    </row>
    <row r="81">
      <c r="A81" s="12" t="n">
        <v>46325</v>
      </c>
      <c r="B81" s="0" t="inlineStr">
        <is>
          <t>九月</t>
        </is>
      </c>
      <c r="C81" s="0" t="inlineStr">
        <is>
          <t>廿一</t>
        </is>
      </c>
    </row>
    <row r="82">
      <c r="A82" s="12" t="n">
        <v>46326</v>
      </c>
      <c r="B82" s="0" t="inlineStr">
        <is>
          <t>九月</t>
        </is>
      </c>
      <c r="C82" s="0" t="inlineStr">
        <is>
          <t>廿二</t>
        </is>
      </c>
    </row>
    <row r="83">
      <c r="A83" s="12" t="n">
        <v>46327</v>
      </c>
      <c r="B83" s="0" t="inlineStr">
        <is>
          <t>九月</t>
        </is>
      </c>
      <c r="C83" s="0" t="inlineStr">
        <is>
          <t>廿三</t>
        </is>
      </c>
    </row>
    <row r="84">
      <c r="A84" s="12" t="n">
        <v>46328</v>
      </c>
      <c r="B84" s="0" t="inlineStr">
        <is>
          <t>九月</t>
        </is>
      </c>
      <c r="C84" s="0" t="inlineStr">
        <is>
          <t>廿四</t>
        </is>
      </c>
    </row>
    <row r="85">
      <c r="A85" s="12" t="n">
        <v>46329</v>
      </c>
      <c r="B85" s="0" t="inlineStr">
        <is>
          <t>九月</t>
        </is>
      </c>
      <c r="C85" s="0" t="inlineStr">
        <is>
          <t>廿五</t>
        </is>
      </c>
    </row>
    <row r="86">
      <c r="A86" s="12" t="n">
        <v>46330</v>
      </c>
      <c r="B86" s="0" t="inlineStr">
        <is>
          <t>九月</t>
        </is>
      </c>
      <c r="C86" s="0" t="inlineStr">
        <is>
          <t>廿六</t>
        </is>
      </c>
    </row>
    <row r="87">
      <c r="A87" s="12" t="n">
        <v>46331</v>
      </c>
      <c r="B87" s="0" t="inlineStr">
        <is>
          <t>九月</t>
        </is>
      </c>
      <c r="C87" s="0" t="inlineStr">
        <is>
          <t>廿七</t>
        </is>
      </c>
    </row>
    <row r="88">
      <c r="A88" s="12" t="n">
        <v>46332</v>
      </c>
      <c r="B88" s="0" t="inlineStr">
        <is>
          <t>九月</t>
        </is>
      </c>
      <c r="C88" s="0" t="inlineStr">
        <is>
          <t>廿八</t>
        </is>
      </c>
    </row>
    <row r="89">
      <c r="A89" s="12" t="n">
        <v>46333</v>
      </c>
      <c r="B89" s="0" t="inlineStr">
        <is>
          <t>九月</t>
        </is>
      </c>
      <c r="C89" s="0" t="inlineStr">
        <is>
          <t>廿九</t>
        </is>
      </c>
    </row>
    <row r="90">
      <c r="A90" s="12" t="n">
        <v>46334</v>
      </c>
      <c r="B90" s="0" t="inlineStr">
        <is>
          <t>九月</t>
        </is>
      </c>
      <c r="C90" s="0" t="inlineStr">
        <is>
          <t>三十</t>
        </is>
      </c>
    </row>
    <row r="91">
      <c r="A91" s="12" t="n">
        <v>46335</v>
      </c>
      <c r="B91" s="0" t="inlineStr">
        <is>
          <t>十月</t>
        </is>
      </c>
      <c r="C91" s="0" t="inlineStr">
        <is>
          <t>初一</t>
        </is>
      </c>
    </row>
    <row r="92">
      <c r="A92" s="12" t="n">
        <v>46336</v>
      </c>
      <c r="B92" s="0" t="inlineStr">
        <is>
          <t>十月</t>
        </is>
      </c>
      <c r="C92" s="0" t="inlineStr">
        <is>
          <t>初二</t>
        </is>
      </c>
    </row>
    <row r="93">
      <c r="A93" s="12" t="n">
        <v>46337</v>
      </c>
      <c r="B93" s="0" t="inlineStr">
        <is>
          <t>十月</t>
        </is>
      </c>
      <c r="C93" s="0" t="inlineStr">
        <is>
          <t>初三</t>
        </is>
      </c>
    </row>
    <row r="94">
      <c r="A94" s="12" t="n">
        <v>46338</v>
      </c>
      <c r="B94" s="0" t="inlineStr">
        <is>
          <t>十月</t>
        </is>
      </c>
      <c r="C94" s="0" t="inlineStr">
        <is>
          <t>初四</t>
        </is>
      </c>
    </row>
    <row r="95">
      <c r="A95" s="12" t="n">
        <v>46339</v>
      </c>
      <c r="B95" s="0" t="inlineStr">
        <is>
          <t>十月</t>
        </is>
      </c>
      <c r="C95" s="0" t="inlineStr">
        <is>
          <t>初五</t>
        </is>
      </c>
    </row>
    <row r="96">
      <c r="A96" s="12" t="n">
        <v>46340</v>
      </c>
      <c r="B96" s="0" t="inlineStr">
        <is>
          <t>十月</t>
        </is>
      </c>
      <c r="C96" s="0" t="inlineStr">
        <is>
          <t>初六</t>
        </is>
      </c>
    </row>
    <row r="97">
      <c r="A97" s="12" t="n">
        <v>46341</v>
      </c>
      <c r="B97" s="0" t="inlineStr">
        <is>
          <t>十月</t>
        </is>
      </c>
      <c r="C97" s="0" t="inlineStr">
        <is>
          <t>初七</t>
        </is>
      </c>
    </row>
    <row r="98">
      <c r="A98" s="12" t="n">
        <v>46342</v>
      </c>
      <c r="B98" s="0" t="inlineStr">
        <is>
          <t>十月</t>
        </is>
      </c>
      <c r="C98" s="0" t="inlineStr">
        <is>
          <t>初八</t>
        </is>
      </c>
    </row>
    <row r="99">
      <c r="A99" s="12" t="n">
        <v>46343</v>
      </c>
      <c r="B99" s="0" t="inlineStr">
        <is>
          <t>十月</t>
        </is>
      </c>
      <c r="C99" s="0" t="inlineStr">
        <is>
          <t>初九</t>
        </is>
      </c>
    </row>
    <row r="100">
      <c r="A100" s="12" t="n">
        <v>46344</v>
      </c>
      <c r="B100" s="0" t="inlineStr">
        <is>
          <t>十月</t>
        </is>
      </c>
      <c r="C100" s="0" t="inlineStr">
        <is>
          <t>初十</t>
        </is>
      </c>
    </row>
    <row r="101">
      <c r="A101" s="12" t="n">
        <v>46345</v>
      </c>
      <c r="B101" s="0" t="inlineStr">
        <is>
          <t>十月</t>
        </is>
      </c>
      <c r="C101" s="0" t="inlineStr">
        <is>
          <t>十一</t>
        </is>
      </c>
    </row>
    <row r="102">
      <c r="A102" s="12" t="n">
        <v>46346</v>
      </c>
      <c r="B102" s="0" t="inlineStr">
        <is>
          <t>十月</t>
        </is>
      </c>
      <c r="C102" s="0" t="inlineStr">
        <is>
          <t>十二</t>
        </is>
      </c>
    </row>
    <row r="103">
      <c r="A103" s="12" t="n">
        <v>46347</v>
      </c>
      <c r="B103" s="0" t="inlineStr">
        <is>
          <t>十月</t>
        </is>
      </c>
      <c r="C103" s="0" t="inlineStr">
        <is>
          <t>十三</t>
        </is>
      </c>
    </row>
    <row r="104">
      <c r="A104" s="12" t="n">
        <v>46348</v>
      </c>
      <c r="B104" s="0" t="inlineStr">
        <is>
          <t>十月</t>
        </is>
      </c>
      <c r="C104" s="0" t="inlineStr">
        <is>
          <t>十四</t>
        </is>
      </c>
    </row>
    <row r="105">
      <c r="A105" s="12" t="n">
        <v>46349</v>
      </c>
      <c r="B105" s="0" t="inlineStr">
        <is>
          <t>十月</t>
        </is>
      </c>
      <c r="C105" s="0" t="inlineStr">
        <is>
          <t>十五</t>
        </is>
      </c>
    </row>
    <row r="106">
      <c r="A106" s="12" t="n">
        <v>46350</v>
      </c>
      <c r="B106" s="0" t="inlineStr">
        <is>
          <t>十月</t>
        </is>
      </c>
      <c r="C106" s="0" t="inlineStr">
        <is>
          <t>十六</t>
        </is>
      </c>
    </row>
    <row r="107">
      <c r="A107" s="12" t="n">
        <v>46351</v>
      </c>
      <c r="B107" s="0" t="inlineStr">
        <is>
          <t>十月</t>
        </is>
      </c>
      <c r="C107" s="0" t="inlineStr">
        <is>
          <t>十七</t>
        </is>
      </c>
    </row>
    <row r="108">
      <c r="A108" s="12" t="n">
        <v>46352</v>
      </c>
      <c r="B108" s="0" t="inlineStr">
        <is>
          <t>十月</t>
        </is>
      </c>
      <c r="C108" s="0" t="inlineStr">
        <is>
          <t>十八</t>
        </is>
      </c>
    </row>
    <row r="109">
      <c r="A109" s="12" t="n">
        <v>46353</v>
      </c>
      <c r="B109" s="0" t="inlineStr">
        <is>
          <t>十月</t>
        </is>
      </c>
      <c r="C109" s="0" t="inlineStr">
        <is>
          <t>十九</t>
        </is>
      </c>
    </row>
    <row r="110">
      <c r="A110" s="12" t="n">
        <v>46354</v>
      </c>
      <c r="B110" s="0" t="inlineStr">
        <is>
          <t>十月</t>
        </is>
      </c>
      <c r="C110" s="0" t="inlineStr">
        <is>
          <t>二十</t>
        </is>
      </c>
    </row>
    <row r="111">
      <c r="A111" s="12" t="n">
        <v>46355</v>
      </c>
      <c r="B111" s="0" t="inlineStr">
        <is>
          <t>十月</t>
        </is>
      </c>
      <c r="C111" s="0" t="inlineStr">
        <is>
          <t>廿一</t>
        </is>
      </c>
    </row>
    <row r="112">
      <c r="A112" s="12" t="n">
        <v>46356</v>
      </c>
      <c r="B112" s="0" t="inlineStr">
        <is>
          <t>十月</t>
        </is>
      </c>
      <c r="C112" s="0" t="inlineStr">
        <is>
          <t>廿二</t>
        </is>
      </c>
    </row>
    <row r="113">
      <c r="A113" s="12" t="n">
        <v>46357</v>
      </c>
      <c r="B113" s="0" t="inlineStr">
        <is>
          <t>十月</t>
        </is>
      </c>
      <c r="C113" s="0" t="inlineStr">
        <is>
          <t>廿三</t>
        </is>
      </c>
    </row>
    <row r="114">
      <c r="A114" s="12" t="n">
        <v>46358</v>
      </c>
      <c r="B114" s="0" t="inlineStr">
        <is>
          <t>十月</t>
        </is>
      </c>
      <c r="C114" s="0" t="inlineStr">
        <is>
          <t>廿四</t>
        </is>
      </c>
    </row>
    <row r="115">
      <c r="A115" s="12" t="n">
        <v>46359</v>
      </c>
      <c r="B115" s="0" t="inlineStr">
        <is>
          <t>十月</t>
        </is>
      </c>
      <c r="C115" s="0" t="inlineStr">
        <is>
          <t>廿五</t>
        </is>
      </c>
    </row>
    <row r="116">
      <c r="A116" s="12" t="n">
        <v>46360</v>
      </c>
      <c r="B116" s="0" t="inlineStr">
        <is>
          <t>十月</t>
        </is>
      </c>
      <c r="C116" s="0" t="inlineStr">
        <is>
          <t>廿六</t>
        </is>
      </c>
    </row>
    <row r="117">
      <c r="A117" s="12" t="n">
        <v>46361</v>
      </c>
      <c r="B117" s="0" t="inlineStr">
        <is>
          <t>十月</t>
        </is>
      </c>
      <c r="C117" s="0" t="inlineStr">
        <is>
          <t>廿七</t>
        </is>
      </c>
    </row>
    <row r="118">
      <c r="A118" s="12" t="n">
        <v>46362</v>
      </c>
      <c r="B118" s="0" t="inlineStr">
        <is>
          <t>十月</t>
        </is>
      </c>
      <c r="C118" s="0" t="inlineStr">
        <is>
          <t>廿八</t>
        </is>
      </c>
    </row>
    <row r="119">
      <c r="A119" s="12" t="n">
        <v>46363</v>
      </c>
      <c r="B119" s="0" t="inlineStr">
        <is>
          <t>十月</t>
        </is>
      </c>
      <c r="C119" s="0" t="inlineStr">
        <is>
          <t>廿九</t>
        </is>
      </c>
    </row>
    <row r="120">
      <c r="A120" s="12" t="n">
        <v>46364</v>
      </c>
      <c r="B120" s="0" t="inlineStr">
        <is>
          <t>十月</t>
        </is>
      </c>
      <c r="C120" s="0" t="inlineStr">
        <is>
          <t>三十</t>
        </is>
      </c>
    </row>
    <row r="121">
      <c r="A121" s="12" t="n">
        <v>46365</v>
      </c>
      <c r="B121" s="0" t="inlineStr">
        <is>
          <t>十一月</t>
        </is>
      </c>
      <c r="C121" s="0" t="inlineStr">
        <is>
          <t>初一</t>
        </is>
      </c>
    </row>
    <row r="122">
      <c r="A122" s="12" t="n">
        <v>46366</v>
      </c>
      <c r="B122" s="0" t="inlineStr">
        <is>
          <t>十一月</t>
        </is>
      </c>
      <c r="C122" s="0" t="inlineStr">
        <is>
          <t>初二</t>
        </is>
      </c>
    </row>
    <row r="123">
      <c r="A123" s="12" t="n">
        <v>46367</v>
      </c>
      <c r="B123" s="0" t="inlineStr">
        <is>
          <t>十一月</t>
        </is>
      </c>
      <c r="C123" s="0" t="inlineStr">
        <is>
          <t>初三</t>
        </is>
      </c>
    </row>
    <row r="124">
      <c r="A124" s="12" t="n">
        <v>46368</v>
      </c>
      <c r="B124" s="0" t="inlineStr">
        <is>
          <t>十一月</t>
        </is>
      </c>
      <c r="C124" s="0" t="inlineStr">
        <is>
          <t>初四</t>
        </is>
      </c>
    </row>
    <row r="125">
      <c r="A125" s="12" t="n">
        <v>46369</v>
      </c>
      <c r="B125" s="0" t="inlineStr">
        <is>
          <t>十一月</t>
        </is>
      </c>
      <c r="C125" s="0" t="inlineStr">
        <is>
          <t>初五</t>
        </is>
      </c>
    </row>
    <row r="126">
      <c r="A126" s="12" t="n">
        <v>46370</v>
      </c>
      <c r="B126" s="0" t="inlineStr">
        <is>
          <t>十一月</t>
        </is>
      </c>
      <c r="C126" s="0" t="inlineStr">
        <is>
          <t>初六</t>
        </is>
      </c>
    </row>
    <row r="127">
      <c r="A127" s="12" t="n">
        <v>46371</v>
      </c>
      <c r="B127" s="0" t="inlineStr">
        <is>
          <t>十一月</t>
        </is>
      </c>
      <c r="C127" s="0" t="inlineStr">
        <is>
          <t>初七</t>
        </is>
      </c>
    </row>
    <row r="128">
      <c r="A128" s="12" t="n">
        <v>46372</v>
      </c>
      <c r="B128" s="0" t="inlineStr">
        <is>
          <t>十一月</t>
        </is>
      </c>
      <c r="C128" s="0" t="inlineStr">
        <is>
          <t>初八</t>
        </is>
      </c>
    </row>
    <row r="129">
      <c r="A129" s="12" t="n">
        <v>46373</v>
      </c>
      <c r="B129" s="0" t="inlineStr">
        <is>
          <t>十一月</t>
        </is>
      </c>
      <c r="C129" s="0" t="inlineStr">
        <is>
          <t>初九</t>
        </is>
      </c>
    </row>
    <row r="130">
      <c r="A130" s="12" t="n">
        <v>46374</v>
      </c>
      <c r="B130" s="0" t="inlineStr">
        <is>
          <t>十一月</t>
        </is>
      </c>
      <c r="C130" s="0" t="inlineStr">
        <is>
          <t>初十</t>
        </is>
      </c>
    </row>
    <row r="131">
      <c r="A131" s="12" t="n">
        <v>46375</v>
      </c>
      <c r="B131" s="0" t="inlineStr">
        <is>
          <t>十一月</t>
        </is>
      </c>
      <c r="C131" s="0" t="inlineStr">
        <is>
          <t>十一</t>
        </is>
      </c>
    </row>
    <row r="132">
      <c r="A132" s="12" t="n">
        <v>46376</v>
      </c>
      <c r="B132" s="0" t="inlineStr">
        <is>
          <t>十一月</t>
        </is>
      </c>
      <c r="C132" s="0" t="inlineStr">
        <is>
          <t>十二</t>
        </is>
      </c>
    </row>
    <row r="133">
      <c r="A133" s="12" t="n">
        <v>46377</v>
      </c>
      <c r="B133" s="0" t="inlineStr">
        <is>
          <t>十一月</t>
        </is>
      </c>
      <c r="C133" s="0" t="inlineStr">
        <is>
          <t>十三</t>
        </is>
      </c>
    </row>
    <row r="134">
      <c r="A134" s="12" t="n">
        <v>46378</v>
      </c>
      <c r="B134" s="0" t="inlineStr">
        <is>
          <t>十一月</t>
        </is>
      </c>
      <c r="C134" s="0" t="inlineStr">
        <is>
          <t>十四</t>
        </is>
      </c>
    </row>
    <row r="135">
      <c r="A135" s="12" t="n">
        <v>46379</v>
      </c>
      <c r="B135" s="0" t="inlineStr">
        <is>
          <t>十一月</t>
        </is>
      </c>
      <c r="C135" s="0" t="inlineStr">
        <is>
          <t>十五</t>
        </is>
      </c>
    </row>
    <row r="136">
      <c r="A136" s="12" t="n">
        <v>46380</v>
      </c>
      <c r="B136" s="0" t="inlineStr">
        <is>
          <t>十一月</t>
        </is>
      </c>
      <c r="C136" s="0" t="inlineStr">
        <is>
          <t>十六</t>
        </is>
      </c>
    </row>
    <row r="137">
      <c r="A137" s="12" t="n">
        <v>46381</v>
      </c>
      <c r="B137" s="0" t="inlineStr">
        <is>
          <t>十一月</t>
        </is>
      </c>
      <c r="C137" s="0" t="inlineStr">
        <is>
          <t>十七</t>
        </is>
      </c>
    </row>
    <row r="138">
      <c r="A138" s="12" t="n">
        <v>46382</v>
      </c>
      <c r="B138" s="0" t="inlineStr">
        <is>
          <t>十一月</t>
        </is>
      </c>
      <c r="C138" s="0" t="inlineStr">
        <is>
          <t>十八</t>
        </is>
      </c>
    </row>
    <row r="139">
      <c r="A139" s="12" t="n">
        <v>46383</v>
      </c>
      <c r="B139" s="0" t="inlineStr">
        <is>
          <t>十一月</t>
        </is>
      </c>
      <c r="C139" s="0" t="inlineStr">
        <is>
          <t>十九</t>
        </is>
      </c>
    </row>
    <row r="140">
      <c r="A140" s="12" t="n">
        <v>46384</v>
      </c>
      <c r="B140" s="0" t="inlineStr">
        <is>
          <t>十一月</t>
        </is>
      </c>
      <c r="C140" s="0" t="inlineStr">
        <is>
          <t>二十</t>
        </is>
      </c>
    </row>
    <row r="141">
      <c r="A141" s="12" t="n">
        <v>46385</v>
      </c>
      <c r="B141" s="0" t="inlineStr">
        <is>
          <t>十一月</t>
        </is>
      </c>
      <c r="C141" s="0" t="inlineStr">
        <is>
          <t>廿一</t>
        </is>
      </c>
    </row>
    <row r="142">
      <c r="A142" s="12" t="n">
        <v>46386</v>
      </c>
      <c r="B142" s="0" t="inlineStr">
        <is>
          <t>十一月</t>
        </is>
      </c>
      <c r="C142" s="0" t="inlineStr">
        <is>
          <t>廿二</t>
        </is>
      </c>
    </row>
    <row r="143">
      <c r="A143" s="12" t="n">
        <v>46387</v>
      </c>
      <c r="B143" s="0" t="inlineStr">
        <is>
          <t>十一月</t>
        </is>
      </c>
      <c r="C143" s="0" t="inlineStr">
        <is>
          <t>廿三</t>
        </is>
      </c>
    </row>
    <row r="144">
      <c r="A144" s="12" t="n">
        <v>46388</v>
      </c>
      <c r="B144" s="0" t="inlineStr">
        <is>
          <t>十一月</t>
        </is>
      </c>
      <c r="C144" s="0" t="inlineStr">
        <is>
          <t>廿四</t>
        </is>
      </c>
    </row>
    <row r="145">
      <c r="A145" s="12" t="n">
        <v>46389</v>
      </c>
      <c r="B145" s="0" t="inlineStr">
        <is>
          <t>十一月</t>
        </is>
      </c>
      <c r="C145" s="0" t="inlineStr">
        <is>
          <t>廿五</t>
        </is>
      </c>
    </row>
    <row r="146">
      <c r="A146" s="12" t="n">
        <v>46390</v>
      </c>
      <c r="B146" s="0" t="inlineStr">
        <is>
          <t>十一月</t>
        </is>
      </c>
      <c r="C146" s="0" t="inlineStr">
        <is>
          <t>廿六</t>
        </is>
      </c>
    </row>
    <row r="147">
      <c r="A147" s="12" t="n">
        <v>46391</v>
      </c>
      <c r="B147" s="0" t="inlineStr">
        <is>
          <t>十一月</t>
        </is>
      </c>
      <c r="C147" s="0" t="inlineStr">
        <is>
          <t>廿七</t>
        </is>
      </c>
    </row>
    <row r="148">
      <c r="A148" s="12" t="n">
        <v>46392</v>
      </c>
      <c r="B148" s="0" t="inlineStr">
        <is>
          <t>十一月</t>
        </is>
      </c>
      <c r="C148" s="0" t="inlineStr">
        <is>
          <t>廿八</t>
        </is>
      </c>
    </row>
    <row r="149">
      <c r="A149" s="12" t="n">
        <v>46393</v>
      </c>
      <c r="B149" s="0" t="inlineStr">
        <is>
          <t>十一月</t>
        </is>
      </c>
      <c r="C149" s="0" t="inlineStr">
        <is>
          <t>廿九</t>
        </is>
      </c>
    </row>
    <row r="150">
      <c r="A150" s="12" t="n">
        <v>46394</v>
      </c>
      <c r="B150" s="0" t="inlineStr">
        <is>
          <t>十一月</t>
        </is>
      </c>
      <c r="C150" s="0" t="inlineStr">
        <is>
          <t>三十</t>
        </is>
      </c>
    </row>
    <row r="151">
      <c r="A151" s="12" t="n">
        <v>46395</v>
      </c>
      <c r="B151" s="0" t="inlineStr">
        <is>
          <t>十二月</t>
        </is>
      </c>
      <c r="C151" s="0" t="inlineStr">
        <is>
          <t>初一</t>
        </is>
      </c>
    </row>
    <row r="152">
      <c r="A152" s="12" t="n">
        <v>46396</v>
      </c>
      <c r="B152" s="0" t="inlineStr">
        <is>
          <t>十二月</t>
        </is>
      </c>
      <c r="C152" s="0" t="inlineStr">
        <is>
          <t>初二</t>
        </is>
      </c>
    </row>
    <row r="153">
      <c r="A153" s="12" t="n">
        <v>46397</v>
      </c>
      <c r="B153" s="0" t="inlineStr">
        <is>
          <t>十二月</t>
        </is>
      </c>
      <c r="C153" s="0" t="inlineStr">
        <is>
          <t>初三</t>
        </is>
      </c>
    </row>
    <row r="154">
      <c r="A154" s="12" t="n">
        <v>46398</v>
      </c>
      <c r="B154" s="0" t="inlineStr">
        <is>
          <t>十二月</t>
        </is>
      </c>
      <c r="C154" s="0" t="inlineStr">
        <is>
          <t>初四</t>
        </is>
      </c>
    </row>
    <row r="155">
      <c r="A155" s="12" t="n">
        <v>46399</v>
      </c>
      <c r="B155" s="0" t="inlineStr">
        <is>
          <t>十二月</t>
        </is>
      </c>
      <c r="C155" s="0" t="inlineStr">
        <is>
          <t>初五</t>
        </is>
      </c>
    </row>
    <row r="156">
      <c r="A156" s="12" t="n">
        <v>46400</v>
      </c>
      <c r="B156" s="0" t="inlineStr">
        <is>
          <t>十二月</t>
        </is>
      </c>
      <c r="C156" s="0" t="inlineStr">
        <is>
          <t>初六</t>
        </is>
      </c>
    </row>
    <row r="157">
      <c r="A157" s="12" t="n">
        <v>46401</v>
      </c>
      <c r="B157" s="0" t="inlineStr">
        <is>
          <t>十二月</t>
        </is>
      </c>
      <c r="C157" s="0" t="inlineStr">
        <is>
          <t>初七</t>
        </is>
      </c>
    </row>
    <row r="158">
      <c r="A158" s="12" t="n">
        <v>46402</v>
      </c>
      <c r="B158" s="0" t="inlineStr">
        <is>
          <t>十二月</t>
        </is>
      </c>
      <c r="C158" s="0" t="inlineStr">
        <is>
          <t>初八</t>
        </is>
      </c>
    </row>
    <row r="159">
      <c r="A159" s="12" t="n">
        <v>46403</v>
      </c>
      <c r="B159" s="0" t="inlineStr">
        <is>
          <t>十二月</t>
        </is>
      </c>
      <c r="C159" s="0" t="inlineStr">
        <is>
          <t>初九</t>
        </is>
      </c>
    </row>
    <row r="160">
      <c r="A160" s="12" t="n">
        <v>46404</v>
      </c>
      <c r="B160" s="0" t="inlineStr">
        <is>
          <t>十二月</t>
        </is>
      </c>
      <c r="C160" s="0" t="inlineStr">
        <is>
          <t>初十</t>
        </is>
      </c>
    </row>
    <row r="161">
      <c r="A161" s="12" t="n">
        <v>46405</v>
      </c>
      <c r="B161" s="0" t="inlineStr">
        <is>
          <t>十二月</t>
        </is>
      </c>
      <c r="C161" s="0" t="inlineStr">
        <is>
          <t>十一</t>
        </is>
      </c>
    </row>
    <row r="162">
      <c r="A162" s="12" t="n">
        <v>46406</v>
      </c>
      <c r="B162" s="0" t="inlineStr">
        <is>
          <t>十二月</t>
        </is>
      </c>
      <c r="C162" s="0" t="inlineStr">
        <is>
          <t>十二</t>
        </is>
      </c>
    </row>
    <row r="163">
      <c r="A163" s="12" t="n">
        <v>46407</v>
      </c>
      <c r="B163" s="0" t="inlineStr">
        <is>
          <t>十二月</t>
        </is>
      </c>
      <c r="C163" s="0" t="inlineStr">
        <is>
          <t>十三</t>
        </is>
      </c>
    </row>
    <row r="164">
      <c r="A164" s="12" t="n">
        <v>46408</v>
      </c>
      <c r="B164" s="0" t="inlineStr">
        <is>
          <t>十二月</t>
        </is>
      </c>
      <c r="C164" s="0" t="inlineStr">
        <is>
          <t>十四</t>
        </is>
      </c>
    </row>
    <row r="165">
      <c r="A165" s="12" t="n">
        <v>46409</v>
      </c>
      <c r="B165" s="0" t="inlineStr">
        <is>
          <t>十二月</t>
        </is>
      </c>
      <c r="C165" s="0" t="inlineStr">
        <is>
          <t>十五</t>
        </is>
      </c>
    </row>
    <row r="166">
      <c r="A166" s="12" t="n">
        <v>46410</v>
      </c>
      <c r="B166" s="0" t="inlineStr">
        <is>
          <t>十二月</t>
        </is>
      </c>
      <c r="C166" s="0" t="inlineStr">
        <is>
          <t>十六</t>
        </is>
      </c>
    </row>
    <row r="167">
      <c r="A167" s="12" t="n">
        <v>46411</v>
      </c>
      <c r="B167" s="0" t="inlineStr">
        <is>
          <t>十二月</t>
        </is>
      </c>
      <c r="C167" s="0" t="inlineStr">
        <is>
          <t>十七</t>
        </is>
      </c>
    </row>
    <row r="168">
      <c r="A168" s="12" t="n">
        <v>46412</v>
      </c>
      <c r="B168" s="0" t="inlineStr">
        <is>
          <t>十二月</t>
        </is>
      </c>
      <c r="C168" s="0" t="inlineStr">
        <is>
          <t>十八</t>
        </is>
      </c>
    </row>
    <row r="169">
      <c r="A169" s="12" t="n">
        <v>46413</v>
      </c>
      <c r="B169" s="0" t="inlineStr">
        <is>
          <t>十二月</t>
        </is>
      </c>
      <c r="C169" s="0" t="inlineStr">
        <is>
          <t>十九</t>
        </is>
      </c>
    </row>
    <row r="170">
      <c r="A170" s="12" t="n">
        <v>46414</v>
      </c>
      <c r="B170" s="0" t="inlineStr">
        <is>
          <t>十二月</t>
        </is>
      </c>
      <c r="C170" s="0" t="inlineStr">
        <is>
          <t>二十</t>
        </is>
      </c>
    </row>
    <row r="171">
      <c r="A171" s="12" t="n">
        <v>46415</v>
      </c>
      <c r="B171" s="0" t="inlineStr">
        <is>
          <t>十二月</t>
        </is>
      </c>
      <c r="C171" s="0" t="inlineStr">
        <is>
          <t>廿一</t>
        </is>
      </c>
    </row>
    <row r="172">
      <c r="A172" s="12" t="n">
        <v>46416</v>
      </c>
      <c r="B172" s="0" t="inlineStr">
        <is>
          <t>十二月</t>
        </is>
      </c>
      <c r="C172" s="0" t="inlineStr">
        <is>
          <t>廿二</t>
        </is>
      </c>
    </row>
    <row r="173">
      <c r="A173" s="12" t="n">
        <v>46417</v>
      </c>
      <c r="B173" s="0" t="inlineStr">
        <is>
          <t>十二月</t>
        </is>
      </c>
      <c r="C173" s="0" t="inlineStr">
        <is>
          <t>廿三</t>
        </is>
      </c>
    </row>
    <row r="174">
      <c r="A174" s="12" t="n">
        <v>46418</v>
      </c>
      <c r="B174" s="0" t="inlineStr">
        <is>
          <t>十二月</t>
        </is>
      </c>
      <c r="C174" s="0" t="inlineStr">
        <is>
          <t>廿四</t>
        </is>
      </c>
    </row>
    <row r="175">
      <c r="A175" s="12" t="n">
        <v>46419</v>
      </c>
      <c r="B175" s="0" t="inlineStr">
        <is>
          <t>十二月</t>
        </is>
      </c>
      <c r="C175" s="0" t="inlineStr">
        <is>
          <t>廿五</t>
        </is>
      </c>
    </row>
    <row r="176">
      <c r="A176" s="12" t="n">
        <v>46420</v>
      </c>
      <c r="B176" s="0" t="inlineStr">
        <is>
          <t>十二月</t>
        </is>
      </c>
      <c r="C176" s="0" t="inlineStr">
        <is>
          <t>廿六</t>
        </is>
      </c>
    </row>
    <row r="177">
      <c r="A177" s="12" t="n">
        <v>46421</v>
      </c>
      <c r="B177" s="0" t="inlineStr">
        <is>
          <t>十二月</t>
        </is>
      </c>
      <c r="C177" s="0" t="inlineStr">
        <is>
          <t>廿七</t>
        </is>
      </c>
    </row>
    <row r="178">
      <c r="A178" s="12" t="n">
        <v>46422</v>
      </c>
      <c r="B178" s="0" t="inlineStr">
        <is>
          <t>十二月</t>
        </is>
      </c>
      <c r="C178" s="0" t="inlineStr">
        <is>
          <t>廿八</t>
        </is>
      </c>
    </row>
    <row r="179">
      <c r="A179" s="12" t="n">
        <v>46423</v>
      </c>
      <c r="B179" s="0" t="inlineStr">
        <is>
          <t>十二月</t>
        </is>
      </c>
      <c r="C179" s="0" t="inlineStr">
        <is>
          <t>廿九</t>
        </is>
      </c>
    </row>
    <row r="180">
      <c r="A180" s="12" t="n">
        <v>46424</v>
      </c>
      <c r="B180" s="0" t="inlineStr">
        <is>
          <t>正月</t>
        </is>
      </c>
      <c r="C180" s="0" t="inlineStr">
        <is>
          <t>初一</t>
        </is>
      </c>
    </row>
    <row r="181">
      <c r="A181" s="12" t="n">
        <v>46425</v>
      </c>
      <c r="B181" s="0" t="inlineStr">
        <is>
          <t>正月</t>
        </is>
      </c>
      <c r="C181" s="0" t="inlineStr">
        <is>
          <t>初二</t>
        </is>
      </c>
    </row>
    <row r="182">
      <c r="A182" s="12" t="n">
        <v>46426</v>
      </c>
      <c r="B182" s="0" t="inlineStr">
        <is>
          <t>正月</t>
        </is>
      </c>
      <c r="C182" s="0" t="inlineStr">
        <is>
          <t>初三</t>
        </is>
      </c>
    </row>
    <row r="183">
      <c r="A183" s="12" t="n">
        <v>46427</v>
      </c>
      <c r="B183" s="0" t="inlineStr">
        <is>
          <t>正月</t>
        </is>
      </c>
      <c r="C183" s="0" t="inlineStr">
        <is>
          <t>初四</t>
        </is>
      </c>
    </row>
    <row r="184">
      <c r="A184" s="12" t="n">
        <v>46428</v>
      </c>
      <c r="B184" s="0" t="inlineStr">
        <is>
          <t>正月</t>
        </is>
      </c>
      <c r="C184" s="0" t="inlineStr">
        <is>
          <t>初五</t>
        </is>
      </c>
    </row>
    <row r="185">
      <c r="A185" s="12" t="n">
        <v>46429</v>
      </c>
      <c r="B185" s="0" t="inlineStr">
        <is>
          <t>正月</t>
        </is>
      </c>
      <c r="C185" s="0" t="inlineStr">
        <is>
          <t>初六</t>
        </is>
      </c>
    </row>
    <row r="186">
      <c r="A186" s="12" t="n">
        <v>46430</v>
      </c>
      <c r="B186" s="0" t="inlineStr">
        <is>
          <t>正月</t>
        </is>
      </c>
      <c r="C186" s="0" t="inlineStr">
        <is>
          <t>初七</t>
        </is>
      </c>
    </row>
    <row r="187">
      <c r="A187" s="12" t="n">
        <v>46431</v>
      </c>
      <c r="B187" s="0" t="inlineStr">
        <is>
          <t>正月</t>
        </is>
      </c>
      <c r="C187" s="0" t="inlineStr">
        <is>
          <t>初八</t>
        </is>
      </c>
    </row>
    <row r="188">
      <c r="A188" s="12" t="n">
        <v>46432</v>
      </c>
      <c r="B188" s="0" t="inlineStr">
        <is>
          <t>正月</t>
        </is>
      </c>
      <c r="C188" s="0" t="inlineStr">
        <is>
          <t>初九</t>
        </is>
      </c>
    </row>
    <row r="189">
      <c r="A189" s="12" t="n">
        <v>46433</v>
      </c>
      <c r="B189" s="0" t="inlineStr">
        <is>
          <t>正月</t>
        </is>
      </c>
      <c r="C189" s="0" t="inlineStr">
        <is>
          <t>初十</t>
        </is>
      </c>
    </row>
    <row r="190">
      <c r="A190" s="12" t="n">
        <v>46434</v>
      </c>
      <c r="B190" s="0" t="inlineStr">
        <is>
          <t>正月</t>
        </is>
      </c>
      <c r="C190" s="0" t="inlineStr">
        <is>
          <t>十一</t>
        </is>
      </c>
    </row>
    <row r="191">
      <c r="A191" s="12" t="n">
        <v>46435</v>
      </c>
      <c r="B191" s="0" t="inlineStr">
        <is>
          <t>正月</t>
        </is>
      </c>
      <c r="C191" s="0" t="inlineStr">
        <is>
          <t>十二</t>
        </is>
      </c>
    </row>
    <row r="192">
      <c r="A192" s="12" t="n">
        <v>46436</v>
      </c>
      <c r="B192" s="0" t="inlineStr">
        <is>
          <t>正月</t>
        </is>
      </c>
      <c r="C192" s="0" t="inlineStr">
        <is>
          <t>十三</t>
        </is>
      </c>
    </row>
    <row r="193">
      <c r="A193" s="12" t="n">
        <v>46437</v>
      </c>
      <c r="B193" s="0" t="inlineStr">
        <is>
          <t>正月</t>
        </is>
      </c>
      <c r="C193" s="0" t="inlineStr">
        <is>
          <t>十四</t>
        </is>
      </c>
    </row>
    <row r="194">
      <c r="A194" s="12" t="n">
        <v>46438</v>
      </c>
      <c r="B194" s="0" t="inlineStr">
        <is>
          <t>正月</t>
        </is>
      </c>
      <c r="C194" s="0" t="inlineStr">
        <is>
          <t>十五</t>
        </is>
      </c>
    </row>
    <row r="195">
      <c r="A195" s="12" t="n">
        <v>46439</v>
      </c>
      <c r="B195" s="0" t="inlineStr">
        <is>
          <t>正月</t>
        </is>
      </c>
      <c r="C195" s="0" t="inlineStr">
        <is>
          <t>十六</t>
        </is>
      </c>
    </row>
    <row r="196">
      <c r="A196" s="12" t="n">
        <v>46440</v>
      </c>
      <c r="B196" s="0" t="inlineStr">
        <is>
          <t>正月</t>
        </is>
      </c>
      <c r="C196" s="0" t="inlineStr">
        <is>
          <t>十七</t>
        </is>
      </c>
    </row>
    <row r="197">
      <c r="A197" s="12" t="n">
        <v>46441</v>
      </c>
      <c r="B197" s="0" t="inlineStr">
        <is>
          <t>正月</t>
        </is>
      </c>
      <c r="C197" s="0" t="inlineStr">
        <is>
          <t>十八</t>
        </is>
      </c>
    </row>
    <row r="198">
      <c r="A198" s="12" t="n">
        <v>46442</v>
      </c>
      <c r="B198" s="0" t="inlineStr">
        <is>
          <t>正月</t>
        </is>
      </c>
      <c r="C198" s="0" t="inlineStr">
        <is>
          <t>十九</t>
        </is>
      </c>
    </row>
    <row r="199">
      <c r="A199" s="12" t="n">
        <v>46443</v>
      </c>
      <c r="B199" s="0" t="inlineStr">
        <is>
          <t>正月</t>
        </is>
      </c>
      <c r="C199" s="0" t="inlineStr">
        <is>
          <t>二十</t>
        </is>
      </c>
    </row>
    <row r="200">
      <c r="A200" s="12" t="n">
        <v>46444</v>
      </c>
      <c r="B200" s="0" t="inlineStr">
        <is>
          <t>正月</t>
        </is>
      </c>
      <c r="C200" s="0" t="inlineStr">
        <is>
          <t>廿一</t>
        </is>
      </c>
    </row>
    <row r="201">
      <c r="A201" s="12" t="n">
        <v>46445</v>
      </c>
      <c r="B201" s="0" t="inlineStr">
        <is>
          <t>正月</t>
        </is>
      </c>
      <c r="C201" s="0" t="inlineStr">
        <is>
          <t>廿二</t>
        </is>
      </c>
    </row>
    <row r="202">
      <c r="A202" s="12" t="n">
        <v>46446</v>
      </c>
      <c r="B202" s="0" t="inlineStr">
        <is>
          <t>正月</t>
        </is>
      </c>
      <c r="C202" s="0" t="inlineStr">
        <is>
          <t>廿三</t>
        </is>
      </c>
    </row>
    <row r="203">
      <c r="A203" s="12" t="n">
        <v>46447</v>
      </c>
      <c r="B203" s="0" t="inlineStr">
        <is>
          <t>正月</t>
        </is>
      </c>
      <c r="C203" s="0" t="inlineStr">
        <is>
          <t>廿四</t>
        </is>
      </c>
    </row>
    <row r="204">
      <c r="A204" s="12" t="n">
        <v>46448</v>
      </c>
      <c r="B204" s="0" t="inlineStr">
        <is>
          <t>正月</t>
        </is>
      </c>
      <c r="C204" s="0" t="inlineStr">
        <is>
          <t>廿五</t>
        </is>
      </c>
    </row>
    <row r="205">
      <c r="A205" s="12" t="n">
        <v>46449</v>
      </c>
      <c r="B205" s="0" t="inlineStr">
        <is>
          <t>正月</t>
        </is>
      </c>
      <c r="C205" s="0" t="inlineStr">
        <is>
          <t>廿六</t>
        </is>
      </c>
    </row>
    <row r="206">
      <c r="A206" s="12" t="n">
        <v>46450</v>
      </c>
      <c r="B206" s="0" t="inlineStr">
        <is>
          <t>正月</t>
        </is>
      </c>
      <c r="C206" s="0" t="inlineStr">
        <is>
          <t>廿七</t>
        </is>
      </c>
    </row>
    <row r="207">
      <c r="A207" s="12" t="n">
        <v>46451</v>
      </c>
      <c r="B207" s="0" t="inlineStr">
        <is>
          <t>正月</t>
        </is>
      </c>
      <c r="C207" s="0" t="inlineStr">
        <is>
          <t>廿八</t>
        </is>
      </c>
    </row>
    <row r="208">
      <c r="A208" s="12" t="n">
        <v>46452</v>
      </c>
      <c r="B208" s="0" t="inlineStr">
        <is>
          <t>正月</t>
        </is>
      </c>
      <c r="C208" s="0" t="inlineStr">
        <is>
          <t>廿九</t>
        </is>
      </c>
    </row>
    <row r="209">
      <c r="A209" s="12" t="n">
        <v>46453</v>
      </c>
      <c r="B209" s="0" t="inlineStr">
        <is>
          <t>正月</t>
        </is>
      </c>
      <c r="C209" s="0" t="inlineStr">
        <is>
          <t>三十</t>
        </is>
      </c>
    </row>
    <row r="210">
      <c r="A210" s="12" t="n">
        <v>46454</v>
      </c>
      <c r="B210" s="0" t="inlineStr">
        <is>
          <t>二月</t>
        </is>
      </c>
      <c r="C210" s="0" t="inlineStr">
        <is>
          <t>初一</t>
        </is>
      </c>
    </row>
    <row r="211">
      <c r="A211" s="12" t="n">
        <v>46455</v>
      </c>
      <c r="B211" s="0" t="inlineStr">
        <is>
          <t>二月</t>
        </is>
      </c>
      <c r="C211" s="0" t="inlineStr">
        <is>
          <t>初二</t>
        </is>
      </c>
    </row>
    <row r="212">
      <c r="A212" s="12" t="n">
        <v>46456</v>
      </c>
      <c r="B212" s="0" t="inlineStr">
        <is>
          <t>二月</t>
        </is>
      </c>
      <c r="C212" s="0" t="inlineStr">
        <is>
          <t>初三</t>
        </is>
      </c>
    </row>
    <row r="213">
      <c r="A213" s="12" t="n">
        <v>46457</v>
      </c>
      <c r="B213" s="0" t="inlineStr">
        <is>
          <t>二月</t>
        </is>
      </c>
      <c r="C213" s="0" t="inlineStr">
        <is>
          <t>初四</t>
        </is>
      </c>
    </row>
    <row r="214">
      <c r="A214" s="12" t="n">
        <v>46458</v>
      </c>
      <c r="B214" s="0" t="inlineStr">
        <is>
          <t>二月</t>
        </is>
      </c>
      <c r="C214" s="0" t="inlineStr">
        <is>
          <t>初五</t>
        </is>
      </c>
    </row>
    <row r="215">
      <c r="A215" s="12" t="n">
        <v>46459</v>
      </c>
      <c r="B215" s="0" t="inlineStr">
        <is>
          <t>二月</t>
        </is>
      </c>
      <c r="C215" s="0" t="inlineStr">
        <is>
          <t>初六</t>
        </is>
      </c>
    </row>
    <row r="216">
      <c r="A216" s="12" t="n">
        <v>46460</v>
      </c>
      <c r="B216" s="0" t="inlineStr">
        <is>
          <t>二月</t>
        </is>
      </c>
      <c r="C216" s="0" t="inlineStr">
        <is>
          <t>初七</t>
        </is>
      </c>
    </row>
    <row r="217">
      <c r="A217" s="12" t="n">
        <v>46461</v>
      </c>
      <c r="B217" s="0" t="inlineStr">
        <is>
          <t>二月</t>
        </is>
      </c>
      <c r="C217" s="0" t="inlineStr">
        <is>
          <t>初八</t>
        </is>
      </c>
    </row>
    <row r="218">
      <c r="A218" s="12" t="n">
        <v>46462</v>
      </c>
      <c r="B218" s="0" t="inlineStr">
        <is>
          <t>二月</t>
        </is>
      </c>
      <c r="C218" s="0" t="inlineStr">
        <is>
          <t>初九</t>
        </is>
      </c>
    </row>
    <row r="219">
      <c r="A219" s="12" t="n">
        <v>46463</v>
      </c>
      <c r="B219" s="0" t="inlineStr">
        <is>
          <t>二月</t>
        </is>
      </c>
      <c r="C219" s="0" t="inlineStr">
        <is>
          <t>初十</t>
        </is>
      </c>
    </row>
    <row r="220">
      <c r="A220" s="12" t="n">
        <v>46464</v>
      </c>
      <c r="B220" s="0" t="inlineStr">
        <is>
          <t>二月</t>
        </is>
      </c>
      <c r="C220" s="0" t="inlineStr">
        <is>
          <t>十一</t>
        </is>
      </c>
    </row>
    <row r="221">
      <c r="A221" s="12" t="n">
        <v>46465</v>
      </c>
      <c r="B221" s="0" t="inlineStr">
        <is>
          <t>二月</t>
        </is>
      </c>
      <c r="C221" s="0" t="inlineStr">
        <is>
          <t>十二</t>
        </is>
      </c>
    </row>
    <row r="222">
      <c r="A222" s="12" t="n">
        <v>46466</v>
      </c>
      <c r="B222" s="0" t="inlineStr">
        <is>
          <t>二月</t>
        </is>
      </c>
      <c r="C222" s="0" t="inlineStr">
        <is>
          <t>十三</t>
        </is>
      </c>
    </row>
    <row r="223">
      <c r="A223" s="12" t="n">
        <v>46467</v>
      </c>
      <c r="B223" s="0" t="inlineStr">
        <is>
          <t>二月</t>
        </is>
      </c>
      <c r="C223" s="0" t="inlineStr">
        <is>
          <t>十四</t>
        </is>
      </c>
    </row>
    <row r="224">
      <c r="A224" s="12" t="n">
        <v>46468</v>
      </c>
      <c r="B224" s="0" t="inlineStr">
        <is>
          <t>二月</t>
        </is>
      </c>
      <c r="C224" s="0" t="inlineStr">
        <is>
          <t>十五</t>
        </is>
      </c>
    </row>
    <row r="225">
      <c r="A225" s="12" t="n">
        <v>46469</v>
      </c>
      <c r="B225" s="0" t="inlineStr">
        <is>
          <t>二月</t>
        </is>
      </c>
      <c r="C225" s="0" t="inlineStr">
        <is>
          <t>十六</t>
        </is>
      </c>
    </row>
    <row r="226">
      <c r="A226" s="12" t="n">
        <v>46470</v>
      </c>
      <c r="B226" s="0" t="inlineStr">
        <is>
          <t>二月</t>
        </is>
      </c>
      <c r="C226" s="0" t="inlineStr">
        <is>
          <t>十七</t>
        </is>
      </c>
    </row>
    <row r="227">
      <c r="A227" s="12" t="n">
        <v>46471</v>
      </c>
      <c r="B227" s="0" t="inlineStr">
        <is>
          <t>二月</t>
        </is>
      </c>
      <c r="C227" s="0" t="inlineStr">
        <is>
          <t>十八</t>
        </is>
      </c>
    </row>
    <row r="228">
      <c r="A228" s="12" t="n">
        <v>46472</v>
      </c>
      <c r="B228" s="0" t="inlineStr">
        <is>
          <t>二月</t>
        </is>
      </c>
      <c r="C228" s="0" t="inlineStr">
        <is>
          <t>十九</t>
        </is>
      </c>
    </row>
    <row r="229">
      <c r="A229" s="12" t="n">
        <v>46473</v>
      </c>
      <c r="B229" s="0" t="inlineStr">
        <is>
          <t>二月</t>
        </is>
      </c>
      <c r="C229" s="0" t="inlineStr">
        <is>
          <t>二十</t>
        </is>
      </c>
    </row>
    <row r="230">
      <c r="A230" s="12" t="n">
        <v>46474</v>
      </c>
      <c r="B230" s="0" t="inlineStr">
        <is>
          <t>二月</t>
        </is>
      </c>
      <c r="C230" s="0" t="inlineStr">
        <is>
          <t>廿一</t>
        </is>
      </c>
    </row>
    <row r="231">
      <c r="A231" s="12" t="n">
        <v>46475</v>
      </c>
      <c r="B231" s="0" t="inlineStr">
        <is>
          <t>二月</t>
        </is>
      </c>
      <c r="C231" s="0" t="inlineStr">
        <is>
          <t>廿二</t>
        </is>
      </c>
    </row>
    <row r="232">
      <c r="A232" s="12" t="n">
        <v>46476</v>
      </c>
      <c r="B232" s="0" t="inlineStr">
        <is>
          <t>二月</t>
        </is>
      </c>
      <c r="C232" s="0" t="inlineStr">
        <is>
          <t>廿三</t>
        </is>
      </c>
    </row>
    <row r="233">
      <c r="A233" s="12" t="n">
        <v>46477</v>
      </c>
      <c r="B233" s="0" t="inlineStr">
        <is>
          <t>二月</t>
        </is>
      </c>
      <c r="C233" s="0" t="inlineStr">
        <is>
          <t>廿四</t>
        </is>
      </c>
    </row>
    <row r="234">
      <c r="A234" s="12" t="n">
        <v>46478</v>
      </c>
      <c r="B234" s="0" t="inlineStr">
        <is>
          <t>二月</t>
        </is>
      </c>
      <c r="C234" s="0" t="inlineStr">
        <is>
          <t>廿五</t>
        </is>
      </c>
    </row>
    <row r="235">
      <c r="A235" s="12" t="n">
        <v>46479</v>
      </c>
      <c r="B235" s="0" t="inlineStr">
        <is>
          <t>二月</t>
        </is>
      </c>
      <c r="C235" s="0" t="inlineStr">
        <is>
          <t>廿六</t>
        </is>
      </c>
    </row>
    <row r="236">
      <c r="A236" s="12" t="n">
        <v>46480</v>
      </c>
      <c r="B236" s="0" t="inlineStr">
        <is>
          <t>二月</t>
        </is>
      </c>
      <c r="C236" s="0" t="inlineStr">
        <is>
          <t>廿七</t>
        </is>
      </c>
    </row>
    <row r="237">
      <c r="A237" s="12" t="n">
        <v>46481</v>
      </c>
      <c r="B237" s="0" t="inlineStr">
        <is>
          <t>二月</t>
        </is>
      </c>
      <c r="C237" s="0" t="inlineStr">
        <is>
          <t>廿八</t>
        </is>
      </c>
    </row>
    <row r="238">
      <c r="A238" s="12" t="n">
        <v>46482</v>
      </c>
      <c r="B238" s="0" t="inlineStr">
        <is>
          <t>二月</t>
        </is>
      </c>
      <c r="C238" s="0" t="inlineStr">
        <is>
          <t>廿九</t>
        </is>
      </c>
    </row>
    <row r="239">
      <c r="A239" s="12" t="n">
        <v>46483</v>
      </c>
      <c r="B239" s="0" t="inlineStr">
        <is>
          <t>二月</t>
        </is>
      </c>
      <c r="C239" s="0" t="inlineStr">
        <is>
          <t>三十</t>
        </is>
      </c>
    </row>
    <row r="240">
      <c r="A240" s="12" t="n">
        <v>46484</v>
      </c>
      <c r="B240" s="0" t="inlineStr">
        <is>
          <t>三月</t>
        </is>
      </c>
      <c r="C240" s="0" t="inlineStr">
        <is>
          <t>初一</t>
        </is>
      </c>
    </row>
    <row r="241">
      <c r="A241" s="12" t="n">
        <v>46485</v>
      </c>
      <c r="B241" s="0" t="inlineStr">
        <is>
          <t>三月</t>
        </is>
      </c>
      <c r="C241" s="0" t="inlineStr">
        <is>
          <t>初二</t>
        </is>
      </c>
    </row>
    <row r="242">
      <c r="A242" s="12" t="n">
        <v>46486</v>
      </c>
      <c r="B242" s="0" t="inlineStr">
        <is>
          <t>三月</t>
        </is>
      </c>
      <c r="C242" s="0" t="inlineStr">
        <is>
          <t>初三</t>
        </is>
      </c>
    </row>
    <row r="243">
      <c r="A243" s="12" t="n">
        <v>46487</v>
      </c>
      <c r="B243" s="0" t="inlineStr">
        <is>
          <t>三月</t>
        </is>
      </c>
      <c r="C243" s="0" t="inlineStr">
        <is>
          <t>初四</t>
        </is>
      </c>
    </row>
    <row r="244">
      <c r="A244" s="12" t="n">
        <v>46488</v>
      </c>
      <c r="B244" s="0" t="inlineStr">
        <is>
          <t>三月</t>
        </is>
      </c>
      <c r="C244" s="0" t="inlineStr">
        <is>
          <t>初五</t>
        </is>
      </c>
    </row>
    <row r="245">
      <c r="A245" s="12" t="n">
        <v>46489</v>
      </c>
      <c r="B245" s="0" t="inlineStr">
        <is>
          <t>三月</t>
        </is>
      </c>
      <c r="C245" s="0" t="inlineStr">
        <is>
          <t>初六</t>
        </is>
      </c>
    </row>
    <row r="246">
      <c r="A246" s="12" t="n">
        <v>46490</v>
      </c>
      <c r="B246" s="0" t="inlineStr">
        <is>
          <t>三月</t>
        </is>
      </c>
      <c r="C246" s="0" t="inlineStr">
        <is>
          <t>初七</t>
        </is>
      </c>
    </row>
    <row r="247">
      <c r="A247" s="12" t="n">
        <v>46491</v>
      </c>
      <c r="B247" s="0" t="inlineStr">
        <is>
          <t>三月</t>
        </is>
      </c>
      <c r="C247" s="0" t="inlineStr">
        <is>
          <t>初八</t>
        </is>
      </c>
    </row>
    <row r="248">
      <c r="A248" s="12" t="n">
        <v>46492</v>
      </c>
      <c r="B248" s="0" t="inlineStr">
        <is>
          <t>三月</t>
        </is>
      </c>
      <c r="C248" s="0" t="inlineStr">
        <is>
          <t>初九</t>
        </is>
      </c>
    </row>
    <row r="249">
      <c r="A249" s="12" t="n">
        <v>46493</v>
      </c>
      <c r="B249" s="0" t="inlineStr">
        <is>
          <t>三月</t>
        </is>
      </c>
      <c r="C249" s="0" t="inlineStr">
        <is>
          <t>初十</t>
        </is>
      </c>
    </row>
    <row r="250">
      <c r="A250" s="12" t="n">
        <v>46494</v>
      </c>
      <c r="B250" s="0" t="inlineStr">
        <is>
          <t>三月</t>
        </is>
      </c>
      <c r="C250" s="0" t="inlineStr">
        <is>
          <t>十一</t>
        </is>
      </c>
    </row>
    <row r="251">
      <c r="A251" s="12" t="n">
        <v>46495</v>
      </c>
      <c r="B251" s="0" t="inlineStr">
        <is>
          <t>三月</t>
        </is>
      </c>
      <c r="C251" s="0" t="inlineStr">
        <is>
          <t>十二</t>
        </is>
      </c>
    </row>
    <row r="252">
      <c r="A252" s="12" t="n">
        <v>46496</v>
      </c>
      <c r="B252" s="0" t="inlineStr">
        <is>
          <t>三月</t>
        </is>
      </c>
      <c r="C252" s="0" t="inlineStr">
        <is>
          <t>十三</t>
        </is>
      </c>
    </row>
    <row r="253">
      <c r="A253" s="12" t="n">
        <v>46497</v>
      </c>
      <c r="B253" s="0" t="inlineStr">
        <is>
          <t>三月</t>
        </is>
      </c>
      <c r="C253" s="0" t="inlineStr">
        <is>
          <t>十四</t>
        </is>
      </c>
    </row>
    <row r="254">
      <c r="A254" s="12" t="n">
        <v>46498</v>
      </c>
      <c r="B254" s="0" t="inlineStr">
        <is>
          <t>三月</t>
        </is>
      </c>
      <c r="C254" s="0" t="inlineStr">
        <is>
          <t>十五</t>
        </is>
      </c>
    </row>
    <row r="255">
      <c r="A255" s="12" t="n">
        <v>46499</v>
      </c>
      <c r="B255" s="0" t="inlineStr">
        <is>
          <t>三月</t>
        </is>
      </c>
      <c r="C255" s="0" t="inlineStr">
        <is>
          <t>十六</t>
        </is>
      </c>
    </row>
    <row r="256">
      <c r="A256" s="12" t="n">
        <v>46500</v>
      </c>
      <c r="B256" s="0" t="inlineStr">
        <is>
          <t>三月</t>
        </is>
      </c>
      <c r="C256" s="0" t="inlineStr">
        <is>
          <t>十七</t>
        </is>
      </c>
    </row>
    <row r="257">
      <c r="A257" s="12" t="n">
        <v>46501</v>
      </c>
      <c r="B257" s="0" t="inlineStr">
        <is>
          <t>三月</t>
        </is>
      </c>
      <c r="C257" s="0" t="inlineStr">
        <is>
          <t>十八</t>
        </is>
      </c>
    </row>
    <row r="258">
      <c r="A258" s="12" t="n">
        <v>46502</v>
      </c>
      <c r="B258" s="0" t="inlineStr">
        <is>
          <t>三月</t>
        </is>
      </c>
      <c r="C258" s="0" t="inlineStr">
        <is>
          <t>十九</t>
        </is>
      </c>
    </row>
    <row r="259">
      <c r="A259" s="12" t="n">
        <v>46503</v>
      </c>
      <c r="B259" s="0" t="inlineStr">
        <is>
          <t>三月</t>
        </is>
      </c>
      <c r="C259" s="0" t="inlineStr">
        <is>
          <t>二十</t>
        </is>
      </c>
    </row>
    <row r="260">
      <c r="A260" s="12" t="n">
        <v>46504</v>
      </c>
      <c r="B260" s="0" t="inlineStr">
        <is>
          <t>三月</t>
        </is>
      </c>
      <c r="C260" s="0" t="inlineStr">
        <is>
          <t>廿一</t>
        </is>
      </c>
    </row>
    <row r="261">
      <c r="A261" s="12" t="n">
        <v>46505</v>
      </c>
      <c r="B261" s="0" t="inlineStr">
        <is>
          <t>三月</t>
        </is>
      </c>
      <c r="C261" s="0" t="inlineStr">
        <is>
          <t>廿二</t>
        </is>
      </c>
    </row>
    <row r="262">
      <c r="A262" s="12" t="n">
        <v>46506</v>
      </c>
      <c r="B262" s="0" t="inlineStr">
        <is>
          <t>三月</t>
        </is>
      </c>
      <c r="C262" s="0" t="inlineStr">
        <is>
          <t>廿三</t>
        </is>
      </c>
    </row>
    <row r="263">
      <c r="A263" s="12" t="n">
        <v>46507</v>
      </c>
      <c r="B263" s="0" t="inlineStr">
        <is>
          <t>三月</t>
        </is>
      </c>
      <c r="C263" s="0" t="inlineStr">
        <is>
          <t>廿四</t>
        </is>
      </c>
    </row>
    <row r="264">
      <c r="A264" s="12" t="n">
        <v>46508</v>
      </c>
      <c r="B264" s="0" t="inlineStr">
        <is>
          <t>三月</t>
        </is>
      </c>
      <c r="C264" s="0" t="inlineStr">
        <is>
          <t>廿五</t>
        </is>
      </c>
    </row>
    <row r="265">
      <c r="A265" s="12" t="n">
        <v>46509</v>
      </c>
      <c r="B265" s="0" t="inlineStr">
        <is>
          <t>三月</t>
        </is>
      </c>
      <c r="C265" s="0" t="inlineStr">
        <is>
          <t>廿六</t>
        </is>
      </c>
    </row>
    <row r="266">
      <c r="A266" s="12" t="n">
        <v>46510</v>
      </c>
      <c r="B266" s="0" t="inlineStr">
        <is>
          <t>三月</t>
        </is>
      </c>
      <c r="C266" s="0" t="inlineStr">
        <is>
          <t>廿七</t>
        </is>
      </c>
    </row>
    <row r="267">
      <c r="A267" s="12" t="n">
        <v>46511</v>
      </c>
      <c r="B267" s="0" t="inlineStr">
        <is>
          <t>三月</t>
        </is>
      </c>
      <c r="C267" s="0" t="inlineStr">
        <is>
          <t>廿八</t>
        </is>
      </c>
    </row>
    <row r="268">
      <c r="A268" s="12" t="n">
        <v>46512</v>
      </c>
      <c r="B268" s="0" t="inlineStr">
        <is>
          <t>三月</t>
        </is>
      </c>
      <c r="C268" s="0" t="inlineStr">
        <is>
          <t>廿九</t>
        </is>
      </c>
    </row>
    <row r="269">
      <c r="A269" s="12" t="n">
        <v>46513</v>
      </c>
      <c r="B269" s="0" t="inlineStr">
        <is>
          <t>四月</t>
        </is>
      </c>
      <c r="C269" s="0" t="inlineStr">
        <is>
          <t>初一</t>
        </is>
      </c>
    </row>
    <row r="270">
      <c r="A270" s="12" t="n">
        <v>46514</v>
      </c>
      <c r="B270" s="0" t="inlineStr">
        <is>
          <t>四月</t>
        </is>
      </c>
      <c r="C270" s="0" t="inlineStr">
        <is>
          <t>初二</t>
        </is>
      </c>
    </row>
    <row r="271">
      <c r="A271" s="12" t="n">
        <v>46515</v>
      </c>
      <c r="B271" s="0" t="inlineStr">
        <is>
          <t>四月</t>
        </is>
      </c>
      <c r="C271" s="0" t="inlineStr">
        <is>
          <t>初三</t>
        </is>
      </c>
    </row>
    <row r="272">
      <c r="A272" s="12" t="n">
        <v>46516</v>
      </c>
      <c r="B272" s="0" t="inlineStr">
        <is>
          <t>四月</t>
        </is>
      </c>
      <c r="C272" s="0" t="inlineStr">
        <is>
          <t>初四</t>
        </is>
      </c>
    </row>
    <row r="273">
      <c r="A273" s="12" t="n">
        <v>46517</v>
      </c>
      <c r="B273" s="0" t="inlineStr">
        <is>
          <t>四月</t>
        </is>
      </c>
      <c r="C273" s="0" t="inlineStr">
        <is>
          <t>初五</t>
        </is>
      </c>
    </row>
    <row r="274">
      <c r="A274" s="12" t="n">
        <v>46518</v>
      </c>
      <c r="B274" s="0" t="inlineStr">
        <is>
          <t>四月</t>
        </is>
      </c>
      <c r="C274" s="0" t="inlineStr">
        <is>
          <t>初六</t>
        </is>
      </c>
    </row>
    <row r="275">
      <c r="A275" s="12" t="n">
        <v>46519</v>
      </c>
      <c r="B275" s="0" t="inlineStr">
        <is>
          <t>四月</t>
        </is>
      </c>
      <c r="C275" s="0" t="inlineStr">
        <is>
          <t>初七</t>
        </is>
      </c>
    </row>
    <row r="276">
      <c r="A276" s="12" t="n">
        <v>46520</v>
      </c>
      <c r="B276" s="0" t="inlineStr">
        <is>
          <t>四月</t>
        </is>
      </c>
      <c r="C276" s="0" t="inlineStr">
        <is>
          <t>初八</t>
        </is>
      </c>
    </row>
    <row r="277">
      <c r="A277" s="12" t="n">
        <v>46521</v>
      </c>
      <c r="B277" s="0" t="inlineStr">
        <is>
          <t>四月</t>
        </is>
      </c>
      <c r="C277" s="0" t="inlineStr">
        <is>
          <t>初九</t>
        </is>
      </c>
    </row>
    <row r="278">
      <c r="A278" s="12" t="n">
        <v>46522</v>
      </c>
      <c r="B278" s="0" t="inlineStr">
        <is>
          <t>四月</t>
        </is>
      </c>
      <c r="C278" s="0" t="inlineStr">
        <is>
          <t>初十</t>
        </is>
      </c>
    </row>
    <row r="279">
      <c r="A279" s="12" t="n">
        <v>46523</v>
      </c>
      <c r="B279" s="0" t="inlineStr">
        <is>
          <t>四月</t>
        </is>
      </c>
      <c r="C279" s="0" t="inlineStr">
        <is>
          <t>十一</t>
        </is>
      </c>
    </row>
    <row r="280">
      <c r="A280" s="12" t="n">
        <v>46524</v>
      </c>
      <c r="B280" s="0" t="inlineStr">
        <is>
          <t>四月</t>
        </is>
      </c>
      <c r="C280" s="0" t="inlineStr">
        <is>
          <t>十二</t>
        </is>
      </c>
    </row>
    <row r="281">
      <c r="A281" s="12" t="n">
        <v>46525</v>
      </c>
      <c r="B281" s="0" t="inlineStr">
        <is>
          <t>四月</t>
        </is>
      </c>
      <c r="C281" s="0" t="inlineStr">
        <is>
          <t>十三</t>
        </is>
      </c>
    </row>
    <row r="282">
      <c r="A282" s="12" t="n">
        <v>46526</v>
      </c>
      <c r="B282" s="0" t="inlineStr">
        <is>
          <t>四月</t>
        </is>
      </c>
      <c r="C282" s="0" t="inlineStr">
        <is>
          <t>十四</t>
        </is>
      </c>
    </row>
    <row r="283">
      <c r="A283" s="12" t="n">
        <v>46527</v>
      </c>
      <c r="B283" s="0" t="inlineStr">
        <is>
          <t>四月</t>
        </is>
      </c>
      <c r="C283" s="0" t="inlineStr">
        <is>
          <t>十五</t>
        </is>
      </c>
    </row>
    <row r="284">
      <c r="A284" s="12" t="n">
        <v>46528</v>
      </c>
      <c r="B284" s="0" t="inlineStr">
        <is>
          <t>四月</t>
        </is>
      </c>
      <c r="C284" s="0" t="inlineStr">
        <is>
          <t>十六</t>
        </is>
      </c>
    </row>
    <row r="285">
      <c r="A285" s="12" t="n">
        <v>46529</v>
      </c>
      <c r="B285" s="0" t="inlineStr">
        <is>
          <t>四月</t>
        </is>
      </c>
      <c r="C285" s="0" t="inlineStr">
        <is>
          <t>十七</t>
        </is>
      </c>
    </row>
    <row r="286">
      <c r="A286" s="12" t="n">
        <v>46530</v>
      </c>
      <c r="B286" s="0" t="inlineStr">
        <is>
          <t>四月</t>
        </is>
      </c>
      <c r="C286" s="0" t="inlineStr">
        <is>
          <t>十八</t>
        </is>
      </c>
    </row>
    <row r="287">
      <c r="A287" s="12" t="n">
        <v>46531</v>
      </c>
      <c r="B287" s="0" t="inlineStr">
        <is>
          <t>四月</t>
        </is>
      </c>
      <c r="C287" s="0" t="inlineStr">
        <is>
          <t>十九</t>
        </is>
      </c>
    </row>
    <row r="288">
      <c r="A288" s="12" t="n">
        <v>46532</v>
      </c>
      <c r="B288" s="0" t="inlineStr">
        <is>
          <t>四月</t>
        </is>
      </c>
      <c r="C288" s="0" t="inlineStr">
        <is>
          <t>二十</t>
        </is>
      </c>
    </row>
    <row r="289">
      <c r="A289" s="12" t="n">
        <v>46533</v>
      </c>
      <c r="B289" s="0" t="inlineStr">
        <is>
          <t>四月</t>
        </is>
      </c>
      <c r="C289" s="0" t="inlineStr">
        <is>
          <t>廿一</t>
        </is>
      </c>
    </row>
    <row r="290">
      <c r="A290" s="12" t="n">
        <v>46534</v>
      </c>
      <c r="B290" s="0" t="inlineStr">
        <is>
          <t>四月</t>
        </is>
      </c>
      <c r="C290" s="0" t="inlineStr">
        <is>
          <t>廿二</t>
        </is>
      </c>
    </row>
    <row r="291">
      <c r="A291" s="12" t="n">
        <v>46535</v>
      </c>
      <c r="B291" s="0" t="inlineStr">
        <is>
          <t>四月</t>
        </is>
      </c>
      <c r="C291" s="0" t="inlineStr">
        <is>
          <t>廿三</t>
        </is>
      </c>
    </row>
    <row r="292">
      <c r="A292" s="12" t="n">
        <v>46536</v>
      </c>
      <c r="B292" s="0" t="inlineStr">
        <is>
          <t>四月</t>
        </is>
      </c>
      <c r="C292" s="0" t="inlineStr">
        <is>
          <t>廿四</t>
        </is>
      </c>
    </row>
    <row r="293">
      <c r="A293" s="12" t="n">
        <v>46537</v>
      </c>
      <c r="B293" s="0" t="inlineStr">
        <is>
          <t>四月</t>
        </is>
      </c>
      <c r="C293" s="0" t="inlineStr">
        <is>
          <t>廿五</t>
        </is>
      </c>
    </row>
    <row r="294">
      <c r="A294" s="12" t="n">
        <v>46538</v>
      </c>
      <c r="B294" s="0" t="inlineStr">
        <is>
          <t>四月</t>
        </is>
      </c>
      <c r="C294" s="0" t="inlineStr">
        <is>
          <t>廿六</t>
        </is>
      </c>
    </row>
    <row r="295">
      <c r="A295" s="12" t="n">
        <v>46539</v>
      </c>
      <c r="B295" s="0" t="inlineStr">
        <is>
          <t>四月</t>
        </is>
      </c>
      <c r="C295" s="0" t="inlineStr">
        <is>
          <t>廿七</t>
        </is>
      </c>
    </row>
    <row r="296">
      <c r="A296" s="12" t="n">
        <v>46540</v>
      </c>
      <c r="B296" s="0" t="inlineStr">
        <is>
          <t>四月</t>
        </is>
      </c>
      <c r="C296" s="0" t="inlineStr">
        <is>
          <t>廿八</t>
        </is>
      </c>
    </row>
    <row r="297">
      <c r="A297" s="12" t="n">
        <v>46541</v>
      </c>
      <c r="B297" s="0" t="inlineStr">
        <is>
          <t>四月</t>
        </is>
      </c>
      <c r="C297" s="0" t="inlineStr">
        <is>
          <t>廿九</t>
        </is>
      </c>
    </row>
    <row r="298">
      <c r="A298" s="12" t="n">
        <v>46542</v>
      </c>
      <c r="B298" s="0" t="inlineStr">
        <is>
          <t>四月</t>
        </is>
      </c>
      <c r="C298" s="0" t="inlineStr">
        <is>
          <t>三十</t>
        </is>
      </c>
    </row>
    <row r="299">
      <c r="A299" s="12" t="n">
        <v>46543</v>
      </c>
      <c r="B299" s="0" t="inlineStr">
        <is>
          <t>五月</t>
        </is>
      </c>
      <c r="C299" s="0" t="inlineStr">
        <is>
          <t>初一</t>
        </is>
      </c>
    </row>
    <row r="300">
      <c r="A300" s="12" t="n">
        <v>46544</v>
      </c>
      <c r="B300" s="0" t="inlineStr">
        <is>
          <t>五月</t>
        </is>
      </c>
      <c r="C300" s="0" t="inlineStr">
        <is>
          <t>初二</t>
        </is>
      </c>
    </row>
    <row r="301">
      <c r="A301" s="12" t="n">
        <v>46545</v>
      </c>
      <c r="B301" s="0" t="inlineStr">
        <is>
          <t>五月</t>
        </is>
      </c>
      <c r="C301" s="0" t="inlineStr">
        <is>
          <t>初三</t>
        </is>
      </c>
    </row>
    <row r="302">
      <c r="A302" s="12" t="n">
        <v>46546</v>
      </c>
      <c r="B302" s="0" t="inlineStr">
        <is>
          <t>五月</t>
        </is>
      </c>
      <c r="C302" s="0" t="inlineStr">
        <is>
          <t>初四</t>
        </is>
      </c>
    </row>
    <row r="303">
      <c r="A303" s="12" t="n">
        <v>46547</v>
      </c>
      <c r="B303" s="0" t="inlineStr">
        <is>
          <t>五月</t>
        </is>
      </c>
      <c r="C303" s="0" t="inlineStr">
        <is>
          <t>初五</t>
        </is>
      </c>
    </row>
    <row r="304">
      <c r="A304" s="12" t="n">
        <v>46548</v>
      </c>
      <c r="B304" s="0" t="inlineStr">
        <is>
          <t>五月</t>
        </is>
      </c>
      <c r="C304" s="0" t="inlineStr">
        <is>
          <t>初六</t>
        </is>
      </c>
    </row>
    <row r="305">
      <c r="A305" s="12" t="n">
        <v>46549</v>
      </c>
      <c r="B305" s="0" t="inlineStr">
        <is>
          <t>五月</t>
        </is>
      </c>
      <c r="C305" s="0" t="inlineStr">
        <is>
          <t>初七</t>
        </is>
      </c>
    </row>
    <row r="306">
      <c r="A306" s="12" t="n">
        <v>46550</v>
      </c>
      <c r="B306" s="0" t="inlineStr">
        <is>
          <t>五月</t>
        </is>
      </c>
      <c r="C306" s="0" t="inlineStr">
        <is>
          <t>初八</t>
        </is>
      </c>
    </row>
    <row r="307">
      <c r="A307" s="12" t="n">
        <v>46551</v>
      </c>
      <c r="B307" s="0" t="inlineStr">
        <is>
          <t>五月</t>
        </is>
      </c>
      <c r="C307" s="0" t="inlineStr">
        <is>
          <t>初九</t>
        </is>
      </c>
    </row>
    <row r="308">
      <c r="A308" s="12" t="n">
        <v>46552</v>
      </c>
      <c r="B308" s="0" t="inlineStr">
        <is>
          <t>五月</t>
        </is>
      </c>
      <c r="C308" s="0" t="inlineStr">
        <is>
          <t>初十</t>
        </is>
      </c>
    </row>
    <row r="309">
      <c r="A309" s="12" t="n">
        <v>46553</v>
      </c>
      <c r="B309" s="0" t="inlineStr">
        <is>
          <t>五月</t>
        </is>
      </c>
      <c r="C309" s="0" t="inlineStr">
        <is>
          <t>十一</t>
        </is>
      </c>
    </row>
    <row r="310">
      <c r="A310" s="12" t="n">
        <v>46554</v>
      </c>
      <c r="B310" s="0" t="inlineStr">
        <is>
          <t>五月</t>
        </is>
      </c>
      <c r="C310" s="0" t="inlineStr">
        <is>
          <t>十二</t>
        </is>
      </c>
    </row>
    <row r="311">
      <c r="A311" s="12" t="n">
        <v>46555</v>
      </c>
      <c r="B311" s="0" t="inlineStr">
        <is>
          <t>五月</t>
        </is>
      </c>
      <c r="C311" s="0" t="inlineStr">
        <is>
          <t>十三</t>
        </is>
      </c>
    </row>
    <row r="312">
      <c r="A312" s="12" t="n">
        <v>46556</v>
      </c>
      <c r="B312" s="0" t="inlineStr">
        <is>
          <t>五月</t>
        </is>
      </c>
      <c r="C312" s="0" t="inlineStr">
        <is>
          <t>十四</t>
        </is>
      </c>
    </row>
    <row r="313">
      <c r="A313" s="12" t="n">
        <v>46557</v>
      </c>
      <c r="B313" s="0" t="inlineStr">
        <is>
          <t>五月</t>
        </is>
      </c>
      <c r="C313" s="0" t="inlineStr">
        <is>
          <t>十五</t>
        </is>
      </c>
    </row>
    <row r="314">
      <c r="A314" s="12" t="n">
        <v>46558</v>
      </c>
      <c r="B314" s="0" t="inlineStr">
        <is>
          <t>五月</t>
        </is>
      </c>
      <c r="C314" s="0" t="inlineStr">
        <is>
          <t>十六</t>
        </is>
      </c>
    </row>
    <row r="315">
      <c r="A315" s="12" t="n">
        <v>46559</v>
      </c>
      <c r="B315" s="0" t="inlineStr">
        <is>
          <t>五月</t>
        </is>
      </c>
      <c r="C315" s="0" t="inlineStr">
        <is>
          <t>十七</t>
        </is>
      </c>
    </row>
    <row r="316">
      <c r="A316" s="12" t="n">
        <v>46560</v>
      </c>
      <c r="B316" s="0" t="inlineStr">
        <is>
          <t>五月</t>
        </is>
      </c>
      <c r="C316" s="0" t="inlineStr">
        <is>
          <t>十八</t>
        </is>
      </c>
    </row>
    <row r="317">
      <c r="A317" s="12" t="n">
        <v>46561</v>
      </c>
      <c r="B317" s="0" t="inlineStr">
        <is>
          <t>五月</t>
        </is>
      </c>
      <c r="C317" s="0" t="inlineStr">
        <is>
          <t>十九</t>
        </is>
      </c>
    </row>
    <row r="318">
      <c r="A318" s="12" t="n">
        <v>46562</v>
      </c>
      <c r="B318" s="0" t="inlineStr">
        <is>
          <t>五月</t>
        </is>
      </c>
      <c r="C318" s="0" t="inlineStr">
        <is>
          <t>二十</t>
        </is>
      </c>
    </row>
    <row r="319">
      <c r="A319" s="12" t="n">
        <v>46563</v>
      </c>
      <c r="B319" s="0" t="inlineStr">
        <is>
          <t>五月</t>
        </is>
      </c>
      <c r="C319" s="0" t="inlineStr">
        <is>
          <t>廿一</t>
        </is>
      </c>
    </row>
    <row r="320">
      <c r="A320" s="12" t="n">
        <v>46564</v>
      </c>
      <c r="B320" s="0" t="inlineStr">
        <is>
          <t>五月</t>
        </is>
      </c>
      <c r="C320" s="0" t="inlineStr">
        <is>
          <t>廿二</t>
        </is>
      </c>
    </row>
    <row r="321">
      <c r="A321" s="12" t="n">
        <v>46565</v>
      </c>
      <c r="B321" s="0" t="inlineStr">
        <is>
          <t>五月</t>
        </is>
      </c>
      <c r="C321" s="0" t="inlineStr">
        <is>
          <t>廿三</t>
        </is>
      </c>
    </row>
    <row r="322">
      <c r="A322" s="12" t="n">
        <v>46566</v>
      </c>
      <c r="B322" s="0" t="inlineStr">
        <is>
          <t>五月</t>
        </is>
      </c>
      <c r="C322" s="0" t="inlineStr">
        <is>
          <t>廿四</t>
        </is>
      </c>
    </row>
    <row r="323">
      <c r="A323" s="12" t="n">
        <v>46567</v>
      </c>
      <c r="B323" s="0" t="inlineStr">
        <is>
          <t>五月</t>
        </is>
      </c>
      <c r="C323" s="0" t="inlineStr">
        <is>
          <t>廿五</t>
        </is>
      </c>
    </row>
    <row r="324">
      <c r="A324" s="12" t="n">
        <v>46568</v>
      </c>
      <c r="B324" s="0" t="inlineStr">
        <is>
          <t>五月</t>
        </is>
      </c>
      <c r="C324" s="0" t="inlineStr">
        <is>
          <t>廿六</t>
        </is>
      </c>
    </row>
    <row r="325">
      <c r="A325" s="12" t="n">
        <v>46569</v>
      </c>
      <c r="B325" s="0" t="inlineStr">
        <is>
          <t>五月</t>
        </is>
      </c>
      <c r="C325" s="0" t="inlineStr">
        <is>
          <t>廿七</t>
        </is>
      </c>
    </row>
    <row r="326">
      <c r="A326" s="12" t="n">
        <v>46570</v>
      </c>
      <c r="B326" s="0" t="inlineStr">
        <is>
          <t>五月</t>
        </is>
      </c>
      <c r="C326" s="0" t="inlineStr">
        <is>
          <t>廿八</t>
        </is>
      </c>
    </row>
    <row r="327">
      <c r="A327" s="12" t="n">
        <v>46571</v>
      </c>
      <c r="B327" s="0" t="inlineStr">
        <is>
          <t>五月</t>
        </is>
      </c>
      <c r="C327" s="0" t="inlineStr">
        <is>
          <t>廿九</t>
        </is>
      </c>
    </row>
    <row r="328">
      <c r="A328" s="12" t="n">
        <v>46572</v>
      </c>
      <c r="B328" s="0" t="inlineStr">
        <is>
          <t>六月</t>
        </is>
      </c>
      <c r="C328" s="0" t="inlineStr">
        <is>
          <t>初一</t>
        </is>
      </c>
    </row>
    <row r="329">
      <c r="A329" s="12" t="n">
        <v>46573</v>
      </c>
      <c r="B329" s="0" t="inlineStr">
        <is>
          <t>六月</t>
        </is>
      </c>
      <c r="C329" s="0" t="inlineStr">
        <is>
          <t>初二</t>
        </is>
      </c>
    </row>
    <row r="330">
      <c r="A330" s="12" t="n">
        <v>46574</v>
      </c>
      <c r="B330" s="0" t="inlineStr">
        <is>
          <t>六月</t>
        </is>
      </c>
      <c r="C330" s="0" t="inlineStr">
        <is>
          <t>初三</t>
        </is>
      </c>
    </row>
    <row r="331">
      <c r="A331" s="12" t="n">
        <v>46575</v>
      </c>
      <c r="B331" s="0" t="inlineStr">
        <is>
          <t>六月</t>
        </is>
      </c>
      <c r="C331" s="0" t="inlineStr">
        <is>
          <t>初四</t>
        </is>
      </c>
    </row>
    <row r="332">
      <c r="A332" s="12" t="n">
        <v>46576</v>
      </c>
      <c r="B332" s="0" t="inlineStr">
        <is>
          <t>六月</t>
        </is>
      </c>
      <c r="C332" s="0" t="inlineStr">
        <is>
          <t>初五</t>
        </is>
      </c>
    </row>
    <row r="333">
      <c r="A333" s="12" t="n">
        <v>46577</v>
      </c>
      <c r="B333" s="0" t="inlineStr">
        <is>
          <t>六月</t>
        </is>
      </c>
      <c r="C333" s="0" t="inlineStr">
        <is>
          <t>初六</t>
        </is>
      </c>
    </row>
    <row r="334">
      <c r="A334" s="12" t="n">
        <v>46578</v>
      </c>
      <c r="B334" s="0" t="inlineStr">
        <is>
          <t>六月</t>
        </is>
      </c>
      <c r="C334" s="0" t="inlineStr">
        <is>
          <t>初七</t>
        </is>
      </c>
    </row>
    <row r="335">
      <c r="A335" s="12" t="n">
        <v>46579</v>
      </c>
      <c r="B335" s="0" t="inlineStr">
        <is>
          <t>六月</t>
        </is>
      </c>
      <c r="C335" s="0" t="inlineStr">
        <is>
          <t>初八</t>
        </is>
      </c>
    </row>
    <row r="336">
      <c r="A336" s="12" t="n">
        <v>46580</v>
      </c>
      <c r="B336" s="0" t="inlineStr">
        <is>
          <t>六月</t>
        </is>
      </c>
      <c r="C336" s="0" t="inlineStr">
        <is>
          <t>初九</t>
        </is>
      </c>
    </row>
    <row r="337">
      <c r="A337" s="12" t="n">
        <v>46581</v>
      </c>
      <c r="B337" s="0" t="inlineStr">
        <is>
          <t>六月</t>
        </is>
      </c>
      <c r="C337" s="0" t="inlineStr">
        <is>
          <t>初十</t>
        </is>
      </c>
    </row>
    <row r="338">
      <c r="A338" s="12" t="n">
        <v>46582</v>
      </c>
      <c r="B338" s="0" t="inlineStr">
        <is>
          <t>六月</t>
        </is>
      </c>
      <c r="C338" s="0" t="inlineStr">
        <is>
          <t>十一</t>
        </is>
      </c>
    </row>
    <row r="339">
      <c r="A339" s="12" t="n">
        <v>46583</v>
      </c>
      <c r="B339" s="0" t="inlineStr">
        <is>
          <t>六月</t>
        </is>
      </c>
      <c r="C339" s="0" t="inlineStr">
        <is>
          <t>十二</t>
        </is>
      </c>
    </row>
    <row r="340">
      <c r="A340" s="12" t="n">
        <v>46584</v>
      </c>
      <c r="B340" s="0" t="inlineStr">
        <is>
          <t>六月</t>
        </is>
      </c>
      <c r="C340" s="0" t="inlineStr">
        <is>
          <t>十三</t>
        </is>
      </c>
    </row>
    <row r="341">
      <c r="A341" s="12" t="n">
        <v>46585</v>
      </c>
      <c r="B341" s="0" t="inlineStr">
        <is>
          <t>六月</t>
        </is>
      </c>
      <c r="C341" s="0" t="inlineStr">
        <is>
          <t>十四</t>
        </is>
      </c>
    </row>
    <row r="342">
      <c r="A342" s="12" t="n">
        <v>46586</v>
      </c>
      <c r="B342" s="0" t="inlineStr">
        <is>
          <t>六月</t>
        </is>
      </c>
      <c r="C342" s="0" t="inlineStr">
        <is>
          <t>十五</t>
        </is>
      </c>
    </row>
    <row r="343">
      <c r="A343" s="12" t="n">
        <v>46587</v>
      </c>
      <c r="B343" s="0" t="inlineStr">
        <is>
          <t>六月</t>
        </is>
      </c>
      <c r="C343" s="0" t="inlineStr">
        <is>
          <t>十六</t>
        </is>
      </c>
    </row>
    <row r="344">
      <c r="A344" s="12" t="n">
        <v>46588</v>
      </c>
      <c r="B344" s="0" t="inlineStr">
        <is>
          <t>六月</t>
        </is>
      </c>
      <c r="C344" s="0" t="inlineStr">
        <is>
          <t>十七</t>
        </is>
      </c>
    </row>
    <row r="345">
      <c r="A345" s="12" t="n">
        <v>46589</v>
      </c>
      <c r="B345" s="0" t="inlineStr">
        <is>
          <t>六月</t>
        </is>
      </c>
      <c r="C345" s="0" t="inlineStr">
        <is>
          <t>十八</t>
        </is>
      </c>
    </row>
    <row r="346">
      <c r="A346" s="12" t="n">
        <v>46590</v>
      </c>
      <c r="B346" s="0" t="inlineStr">
        <is>
          <t>六月</t>
        </is>
      </c>
      <c r="C346" s="0" t="inlineStr">
        <is>
          <t>十九</t>
        </is>
      </c>
    </row>
    <row r="347">
      <c r="A347" s="12" t="n">
        <v>46591</v>
      </c>
      <c r="B347" s="0" t="inlineStr">
        <is>
          <t>六月</t>
        </is>
      </c>
      <c r="C347" s="0" t="inlineStr">
        <is>
          <t>二十</t>
        </is>
      </c>
    </row>
    <row r="348">
      <c r="A348" s="12" t="n">
        <v>46592</v>
      </c>
      <c r="B348" s="0" t="inlineStr">
        <is>
          <t>六月</t>
        </is>
      </c>
      <c r="C348" s="0" t="inlineStr">
        <is>
          <t>廿一</t>
        </is>
      </c>
    </row>
    <row r="349">
      <c r="A349" s="12" t="n">
        <v>46593</v>
      </c>
      <c r="B349" s="0" t="inlineStr">
        <is>
          <t>六月</t>
        </is>
      </c>
      <c r="C349" s="0" t="inlineStr">
        <is>
          <t>廿二</t>
        </is>
      </c>
    </row>
    <row r="350">
      <c r="A350" s="12" t="n">
        <v>46594</v>
      </c>
      <c r="B350" s="0" t="inlineStr">
        <is>
          <t>六月</t>
        </is>
      </c>
      <c r="C350" s="0" t="inlineStr">
        <is>
          <t>廿三</t>
        </is>
      </c>
    </row>
    <row r="351">
      <c r="A351" s="12" t="n">
        <v>46595</v>
      </c>
      <c r="B351" s="0" t="inlineStr">
        <is>
          <t>六月</t>
        </is>
      </c>
      <c r="C351" s="0" t="inlineStr">
        <is>
          <t>廿四</t>
        </is>
      </c>
    </row>
    <row r="352">
      <c r="A352" s="12" t="n">
        <v>46596</v>
      </c>
      <c r="B352" s="0" t="inlineStr">
        <is>
          <t>六月</t>
        </is>
      </c>
      <c r="C352" s="0" t="inlineStr">
        <is>
          <t>廿五</t>
        </is>
      </c>
    </row>
    <row r="353">
      <c r="A353" s="12" t="n">
        <v>46597</v>
      </c>
      <c r="B353" s="0" t="inlineStr">
        <is>
          <t>六月</t>
        </is>
      </c>
      <c r="C353" s="0" t="inlineStr">
        <is>
          <t>廿六</t>
        </is>
      </c>
    </row>
    <row r="354">
      <c r="A354" s="12" t="n">
        <v>46598</v>
      </c>
      <c r="B354" s="0" t="inlineStr">
        <is>
          <t>六月</t>
        </is>
      </c>
      <c r="C354" s="0" t="inlineStr">
        <is>
          <t>廿七</t>
        </is>
      </c>
    </row>
    <row r="355">
      <c r="A355" s="12" t="n">
        <v>46599</v>
      </c>
      <c r="B355" s="0" t="inlineStr">
        <is>
          <t>六月</t>
        </is>
      </c>
      <c r="C355" s="0" t="inlineStr">
        <is>
          <t>廿八</t>
        </is>
      </c>
    </row>
    <row r="356">
      <c r="A356" s="12" t="n">
        <v>46600</v>
      </c>
      <c r="B356" s="0" t="inlineStr">
        <is>
          <t>六月</t>
        </is>
      </c>
      <c r="C356" s="0" t="inlineStr">
        <is>
          <t>廿九</t>
        </is>
      </c>
    </row>
    <row r="357">
      <c r="A357" s="12" t="n">
        <v>46601</v>
      </c>
      <c r="B357" s="0" t="inlineStr">
        <is>
          <t>七月</t>
        </is>
      </c>
      <c r="C357" s="0" t="inlineStr">
        <is>
          <t>初一</t>
        </is>
      </c>
    </row>
    <row r="358">
      <c r="A358" s="12" t="n">
        <v>46602</v>
      </c>
      <c r="B358" s="0" t="inlineStr">
        <is>
          <t>七月</t>
        </is>
      </c>
      <c r="C358" s="0" t="inlineStr">
        <is>
          <t>初二</t>
        </is>
      </c>
    </row>
    <row r="359">
      <c r="A359" s="12" t="n">
        <v>46603</v>
      </c>
      <c r="B359" s="0" t="inlineStr">
        <is>
          <t>七月</t>
        </is>
      </c>
      <c r="C359" s="0" t="inlineStr">
        <is>
          <t>初三</t>
        </is>
      </c>
    </row>
    <row r="360">
      <c r="A360" s="12" t="n">
        <v>46604</v>
      </c>
      <c r="B360" s="0" t="inlineStr">
        <is>
          <t>七月</t>
        </is>
      </c>
      <c r="C360" s="0" t="inlineStr">
        <is>
          <t>初四</t>
        </is>
      </c>
    </row>
    <row r="361">
      <c r="A361" s="12" t="n">
        <v>46605</v>
      </c>
      <c r="B361" s="0" t="inlineStr">
        <is>
          <t>七月</t>
        </is>
      </c>
      <c r="C361" s="0" t="inlineStr">
        <is>
          <t>初五</t>
        </is>
      </c>
    </row>
    <row r="362">
      <c r="A362" s="12" t="n">
        <v>46606</v>
      </c>
      <c r="B362" s="0" t="inlineStr">
        <is>
          <t>七月</t>
        </is>
      </c>
      <c r="C362" s="0" t="inlineStr">
        <is>
          <t>初六</t>
        </is>
      </c>
    </row>
    <row r="363">
      <c r="A363" s="12" t="n">
        <v>46607</v>
      </c>
      <c r="B363" s="0" t="inlineStr">
        <is>
          <t>七月</t>
        </is>
      </c>
      <c r="C363" s="0" t="inlineStr">
        <is>
          <t>初七</t>
        </is>
      </c>
    </row>
    <row r="364">
      <c r="A364" s="12" t="n">
        <v>46608</v>
      </c>
      <c r="B364" s="0" t="inlineStr">
        <is>
          <t>七月</t>
        </is>
      </c>
      <c r="C364" s="0" t="inlineStr">
        <is>
          <t>初八</t>
        </is>
      </c>
    </row>
    <row r="365">
      <c r="A365" s="12" t="n">
        <v>46609</v>
      </c>
      <c r="B365" s="0" t="inlineStr">
        <is>
          <t>七月</t>
        </is>
      </c>
      <c r="C365" s="0" t="inlineStr">
        <is>
          <t>初九</t>
        </is>
      </c>
    </row>
    <row r="366">
      <c r="A366" s="12" t="n">
        <v>46610</v>
      </c>
      <c r="B366" s="0" t="inlineStr">
        <is>
          <t>七月</t>
        </is>
      </c>
      <c r="C366" s="0" t="inlineStr">
        <is>
          <t>初十</t>
        </is>
      </c>
    </row>
    <row r="367">
      <c r="A367" s="12" t="n">
        <v>46611</v>
      </c>
      <c r="B367" s="0" t="inlineStr">
        <is>
          <t>七月</t>
        </is>
      </c>
      <c r="C367" s="0" t="inlineStr">
        <is>
          <t>十一</t>
        </is>
      </c>
    </row>
    <row r="368">
      <c r="A368" s="12" t="n">
        <v>46612</v>
      </c>
      <c r="B368" s="0" t="inlineStr">
        <is>
          <t>七月</t>
        </is>
      </c>
      <c r="C368" s="0" t="inlineStr">
        <is>
          <t>十二</t>
        </is>
      </c>
    </row>
    <row r="369">
      <c r="A369" s="12" t="n">
        <v>46613</v>
      </c>
      <c r="B369" s="0" t="inlineStr">
        <is>
          <t>七月</t>
        </is>
      </c>
      <c r="C369" s="0" t="inlineStr">
        <is>
          <t>十三</t>
        </is>
      </c>
    </row>
    <row r="370">
      <c r="A370" s="12" t="n">
        <v>46614</v>
      </c>
      <c r="B370" s="0" t="inlineStr">
        <is>
          <t>七月</t>
        </is>
      </c>
      <c r="C370" s="0" t="inlineStr">
        <is>
          <t>十四</t>
        </is>
      </c>
    </row>
    <row r="371">
      <c r="A371" s="12" t="n">
        <v>46615</v>
      </c>
      <c r="B371" s="0" t="inlineStr">
        <is>
          <t>七月</t>
        </is>
      </c>
      <c r="C371" s="0" t="inlineStr">
        <is>
          <t>十五</t>
        </is>
      </c>
    </row>
    <row r="372">
      <c r="A372" s="12" t="n">
        <v>46616</v>
      </c>
      <c r="B372" s="0" t="inlineStr">
        <is>
          <t>七月</t>
        </is>
      </c>
      <c r="C372" s="0" t="inlineStr">
        <is>
          <t>十六</t>
        </is>
      </c>
    </row>
    <row r="373">
      <c r="A373" s="12" t="n">
        <v>46617</v>
      </c>
      <c r="B373" s="0" t="inlineStr">
        <is>
          <t>七月</t>
        </is>
      </c>
      <c r="C373" s="0" t="inlineStr">
        <is>
          <t>十七</t>
        </is>
      </c>
    </row>
    <row r="374">
      <c r="A374" s="12" t="n">
        <v>46618</v>
      </c>
      <c r="B374" s="0" t="inlineStr">
        <is>
          <t>七月</t>
        </is>
      </c>
      <c r="C374" s="0" t="inlineStr">
        <is>
          <t>十八</t>
        </is>
      </c>
    </row>
    <row r="375">
      <c r="A375" s="12" t="n">
        <v>46619</v>
      </c>
      <c r="B375" s="0" t="inlineStr">
        <is>
          <t>七月</t>
        </is>
      </c>
      <c r="C375" s="0" t="inlineStr">
        <is>
          <t>十九</t>
        </is>
      </c>
    </row>
    <row r="376">
      <c r="A376" s="12" t="n">
        <v>46620</v>
      </c>
      <c r="B376" s="0" t="inlineStr">
        <is>
          <t>七月</t>
        </is>
      </c>
      <c r="C376" s="0" t="inlineStr">
        <is>
          <t>二十</t>
        </is>
      </c>
    </row>
    <row r="377">
      <c r="A377" s="12" t="n">
        <v>46621</v>
      </c>
      <c r="B377" s="0" t="inlineStr">
        <is>
          <t>七月</t>
        </is>
      </c>
      <c r="C377" s="0" t="inlineStr">
        <is>
          <t>廿一</t>
        </is>
      </c>
    </row>
    <row r="378">
      <c r="A378" s="12" t="n">
        <v>46622</v>
      </c>
      <c r="B378" s="0" t="inlineStr">
        <is>
          <t>七月</t>
        </is>
      </c>
      <c r="C378" s="0" t="inlineStr">
        <is>
          <t>廿二</t>
        </is>
      </c>
    </row>
    <row r="379">
      <c r="A379" s="12" t="n">
        <v>46623</v>
      </c>
      <c r="B379" s="0" t="inlineStr">
        <is>
          <t>七月</t>
        </is>
      </c>
      <c r="C379" s="0" t="inlineStr">
        <is>
          <t>廿三</t>
        </is>
      </c>
    </row>
    <row r="380">
      <c r="A380" s="12" t="n">
        <v>46624</v>
      </c>
      <c r="B380" s="0" t="inlineStr">
        <is>
          <t>七月</t>
        </is>
      </c>
      <c r="C380" s="0" t="inlineStr">
        <is>
          <t>廿四</t>
        </is>
      </c>
    </row>
    <row r="381">
      <c r="A381" s="12" t="n">
        <v>46625</v>
      </c>
      <c r="B381" s="0" t="inlineStr">
        <is>
          <t>七月</t>
        </is>
      </c>
      <c r="C381" s="0" t="inlineStr">
        <is>
          <t>廿五</t>
        </is>
      </c>
    </row>
    <row r="382">
      <c r="A382" s="12" t="n">
        <v>46626</v>
      </c>
      <c r="B382" s="0" t="inlineStr">
        <is>
          <t>七月</t>
        </is>
      </c>
      <c r="C382" s="0" t="inlineStr">
        <is>
          <t>廿六</t>
        </is>
      </c>
    </row>
    <row r="383">
      <c r="A383" s="12" t="n">
        <v>46627</v>
      </c>
      <c r="B383" s="0" t="inlineStr">
        <is>
          <t>七月</t>
        </is>
      </c>
      <c r="C383" s="0" t="inlineStr">
        <is>
          <t>廿七</t>
        </is>
      </c>
    </row>
    <row r="384">
      <c r="A384" s="12" t="n">
        <v>46628</v>
      </c>
      <c r="B384" s="0" t="inlineStr">
        <is>
          <t>七月</t>
        </is>
      </c>
      <c r="C384" s="0" t="inlineStr">
        <is>
          <t>廿八</t>
        </is>
      </c>
    </row>
    <row r="385">
      <c r="A385" s="12" t="n">
        <v>46629</v>
      </c>
      <c r="B385" s="0" t="inlineStr">
        <is>
          <t>七月</t>
        </is>
      </c>
      <c r="C385" s="0" t="inlineStr">
        <is>
          <t>廿九</t>
        </is>
      </c>
    </row>
    <row r="386">
      <c r="A386" s="12" t="n">
        <v>46630</v>
      </c>
      <c r="B386" s="0" t="inlineStr">
        <is>
          <t>七月</t>
        </is>
      </c>
      <c r="C386" s="0" t="inlineStr">
        <is>
          <t>三十</t>
        </is>
      </c>
    </row>
    <row r="387">
      <c r="A387" s="12" t="n">
        <v>46631</v>
      </c>
      <c r="B387" s="0" t="inlineStr">
        <is>
          <t>八月</t>
        </is>
      </c>
      <c r="C387" s="0" t="inlineStr">
        <is>
          <t>初一</t>
        </is>
      </c>
    </row>
    <row r="388">
      <c r="A388" s="12" t="n">
        <v>46632</v>
      </c>
      <c r="B388" s="0" t="inlineStr">
        <is>
          <t>八月</t>
        </is>
      </c>
      <c r="C388" s="0" t="inlineStr">
        <is>
          <t>初二</t>
        </is>
      </c>
    </row>
    <row r="389">
      <c r="A389" s="12" t="n">
        <v>46633</v>
      </c>
      <c r="B389" s="0" t="inlineStr">
        <is>
          <t>八月</t>
        </is>
      </c>
      <c r="C389" s="0" t="inlineStr">
        <is>
          <t>初三</t>
        </is>
      </c>
    </row>
    <row r="390">
      <c r="A390" s="12" t="n">
        <v>46634</v>
      </c>
      <c r="B390" s="0" t="inlineStr">
        <is>
          <t>八月</t>
        </is>
      </c>
      <c r="C390" s="0" t="inlineStr">
        <is>
          <t>初四</t>
        </is>
      </c>
    </row>
    <row r="391">
      <c r="A391" s="12" t="n">
        <v>46635</v>
      </c>
      <c r="B391" s="0" t="inlineStr">
        <is>
          <t>八月</t>
        </is>
      </c>
      <c r="C391" s="0" t="inlineStr">
        <is>
          <t>初五</t>
        </is>
      </c>
    </row>
    <row r="392">
      <c r="A392" s="12" t="n">
        <v>46636</v>
      </c>
      <c r="B392" s="0" t="inlineStr">
        <is>
          <t>八月</t>
        </is>
      </c>
      <c r="C392" s="0" t="inlineStr">
        <is>
          <t>初六</t>
        </is>
      </c>
    </row>
    <row r="393">
      <c r="A393" s="12" t="n">
        <v>46637</v>
      </c>
      <c r="B393" s="0" t="inlineStr">
        <is>
          <t>八月</t>
        </is>
      </c>
      <c r="C393" s="0" t="inlineStr">
        <is>
          <t>初七</t>
        </is>
      </c>
    </row>
    <row r="394">
      <c r="A394" s="12" t="n">
        <v>46638</v>
      </c>
      <c r="B394" s="0" t="inlineStr">
        <is>
          <t>八月</t>
        </is>
      </c>
      <c r="C394" s="0" t="inlineStr">
        <is>
          <t>初八</t>
        </is>
      </c>
    </row>
    <row r="395">
      <c r="A395" s="12" t="n">
        <v>46639</v>
      </c>
      <c r="B395" s="0" t="inlineStr">
        <is>
          <t>八月</t>
        </is>
      </c>
      <c r="C395" s="0" t="inlineStr">
        <is>
          <t>初九</t>
        </is>
      </c>
    </row>
    <row r="396">
      <c r="A396" s="12" t="n">
        <v>46640</v>
      </c>
      <c r="B396" s="0" t="inlineStr">
        <is>
          <t>八月</t>
        </is>
      </c>
      <c r="C396" s="0" t="inlineStr">
        <is>
          <t>初十</t>
        </is>
      </c>
    </row>
    <row r="397">
      <c r="A397" s="12" t="n">
        <v>46641</v>
      </c>
      <c r="B397" s="0" t="inlineStr">
        <is>
          <t>八月</t>
        </is>
      </c>
      <c r="C397" s="0" t="inlineStr">
        <is>
          <t>十一</t>
        </is>
      </c>
    </row>
    <row r="398">
      <c r="A398" s="12" t="n">
        <v>46642</v>
      </c>
      <c r="B398" s="0" t="inlineStr">
        <is>
          <t>八月</t>
        </is>
      </c>
      <c r="C398" s="0" t="inlineStr">
        <is>
          <t>十二</t>
        </is>
      </c>
    </row>
    <row r="399">
      <c r="A399" s="12" t="n">
        <v>46643</v>
      </c>
      <c r="B399" s="0" t="inlineStr">
        <is>
          <t>八月</t>
        </is>
      </c>
      <c r="C399" s="0" t="inlineStr">
        <is>
          <t>十三</t>
        </is>
      </c>
    </row>
    <row r="400">
      <c r="A400" s="12" t="n">
        <v>46644</v>
      </c>
      <c r="B400" s="0" t="inlineStr">
        <is>
          <t>八月</t>
        </is>
      </c>
      <c r="C400" s="0" t="inlineStr">
        <is>
          <t>十四</t>
        </is>
      </c>
    </row>
    <row r="401">
      <c r="A401" s="12" t="n">
        <v>46645</v>
      </c>
      <c r="B401" s="0" t="inlineStr">
        <is>
          <t>八月</t>
        </is>
      </c>
      <c r="C401" s="0" t="inlineStr">
        <is>
          <t>十五</t>
        </is>
      </c>
    </row>
    <row r="402">
      <c r="A402" s="12" t="n">
        <v>46646</v>
      </c>
      <c r="B402" s="0" t="inlineStr">
        <is>
          <t>八月</t>
        </is>
      </c>
      <c r="C402" s="0" t="inlineStr">
        <is>
          <t>十六</t>
        </is>
      </c>
    </row>
    <row r="403">
      <c r="A403" s="12" t="n">
        <v>46647</v>
      </c>
      <c r="B403" s="0" t="inlineStr">
        <is>
          <t>八月</t>
        </is>
      </c>
      <c r="C403" s="0" t="inlineStr">
        <is>
          <t>十七</t>
        </is>
      </c>
    </row>
    <row r="404">
      <c r="A404" s="12" t="n">
        <v>46648</v>
      </c>
      <c r="B404" s="0" t="inlineStr">
        <is>
          <t>八月</t>
        </is>
      </c>
      <c r="C404" s="0" t="inlineStr">
        <is>
          <t>十八</t>
        </is>
      </c>
    </row>
    <row r="405">
      <c r="A405" s="12" t="n">
        <v>46649</v>
      </c>
      <c r="B405" s="0" t="inlineStr">
        <is>
          <t>八月</t>
        </is>
      </c>
      <c r="C405" s="0" t="inlineStr">
        <is>
          <t>十九</t>
        </is>
      </c>
    </row>
    <row r="406">
      <c r="A406" s="12" t="n">
        <v>46650</v>
      </c>
      <c r="B406" s="0" t="inlineStr">
        <is>
          <t>八月</t>
        </is>
      </c>
      <c r="C406" s="0" t="inlineStr">
        <is>
          <t>二十</t>
        </is>
      </c>
    </row>
    <row r="407">
      <c r="A407" s="12" t="n">
        <v>46651</v>
      </c>
      <c r="B407" s="0" t="inlineStr">
        <is>
          <t>八月</t>
        </is>
      </c>
      <c r="C407" s="0" t="inlineStr">
        <is>
          <t>廿一</t>
        </is>
      </c>
    </row>
    <row r="408">
      <c r="A408" s="12" t="n">
        <v>46652</v>
      </c>
      <c r="B408" s="0" t="inlineStr">
        <is>
          <t>八月</t>
        </is>
      </c>
      <c r="C408" s="0" t="inlineStr">
        <is>
          <t>廿二</t>
        </is>
      </c>
    </row>
    <row r="409">
      <c r="A409" s="12" t="n">
        <v>46653</v>
      </c>
      <c r="B409" s="0" t="inlineStr">
        <is>
          <t>八月</t>
        </is>
      </c>
      <c r="C409" s="0" t="inlineStr">
        <is>
          <t>廿三</t>
        </is>
      </c>
    </row>
    <row r="410">
      <c r="A410" s="12" t="n">
        <v>46654</v>
      </c>
      <c r="B410" s="0" t="inlineStr">
        <is>
          <t>八月</t>
        </is>
      </c>
      <c r="C410" s="0" t="inlineStr">
        <is>
          <t>廿四</t>
        </is>
      </c>
    </row>
    <row r="411">
      <c r="A411" s="12" t="n">
        <v>46655</v>
      </c>
      <c r="B411" s="0" t="inlineStr">
        <is>
          <t>八月</t>
        </is>
      </c>
      <c r="C411" s="0" t="inlineStr">
        <is>
          <t>廿五</t>
        </is>
      </c>
    </row>
    <row r="412">
      <c r="A412" s="12" t="n">
        <v>46656</v>
      </c>
      <c r="B412" s="0" t="inlineStr">
        <is>
          <t>八月</t>
        </is>
      </c>
      <c r="C412" s="0" t="inlineStr">
        <is>
          <t>廿六</t>
        </is>
      </c>
    </row>
    <row r="413">
      <c r="A413" s="12" t="n">
        <v>46657</v>
      </c>
      <c r="B413" s="0" t="inlineStr">
        <is>
          <t>八月</t>
        </is>
      </c>
      <c r="C413" s="0" t="inlineStr">
        <is>
          <t>廿七</t>
        </is>
      </c>
    </row>
    <row r="414">
      <c r="A414" s="12" t="n">
        <v>46658</v>
      </c>
      <c r="B414" s="0" t="inlineStr">
        <is>
          <t>八月</t>
        </is>
      </c>
      <c r="C414" s="0" t="inlineStr">
        <is>
          <t>廿八</t>
        </is>
      </c>
    </row>
    <row r="415">
      <c r="A415" s="12" t="n">
        <v>46659</v>
      </c>
      <c r="B415" s="0" t="inlineStr">
        <is>
          <t>八月</t>
        </is>
      </c>
      <c r="C415" s="0" t="inlineStr">
        <is>
          <t>廿九</t>
        </is>
      </c>
    </row>
    <row r="416">
      <c r="A416" s="12" t="n">
        <v>46660</v>
      </c>
      <c r="B416" s="0" t="inlineStr">
        <is>
          <t>九月</t>
        </is>
      </c>
      <c r="C416" s="0" t="inlineStr">
        <is>
          <t>初一</t>
        </is>
      </c>
    </row>
    <row r="417">
      <c r="A417" s="12" t="n">
        <v>46661</v>
      </c>
      <c r="B417" s="0" t="inlineStr">
        <is>
          <t>九月</t>
        </is>
      </c>
      <c r="C417" s="0" t="inlineStr">
        <is>
          <t>初二</t>
        </is>
      </c>
    </row>
    <row r="418">
      <c r="A418" s="12" t="n">
        <v>46662</v>
      </c>
      <c r="B418" s="0" t="inlineStr">
        <is>
          <t>九月</t>
        </is>
      </c>
      <c r="C418" s="0" t="inlineStr">
        <is>
          <t>初三</t>
        </is>
      </c>
    </row>
    <row r="419">
      <c r="A419" s="12" t="n">
        <v>46663</v>
      </c>
      <c r="B419" s="0" t="inlineStr">
        <is>
          <t>九月</t>
        </is>
      </c>
      <c r="C419" s="0" t="inlineStr">
        <is>
          <t>初四</t>
        </is>
      </c>
    </row>
    <row r="420">
      <c r="A420" s="12" t="n">
        <v>46664</v>
      </c>
      <c r="B420" s="0" t="inlineStr">
        <is>
          <t>九月</t>
        </is>
      </c>
      <c r="C420" s="0" t="inlineStr">
        <is>
          <t>初五</t>
        </is>
      </c>
    </row>
    <row r="421">
      <c r="A421" s="12" t="n">
        <v>46665</v>
      </c>
      <c r="B421" s="0" t="inlineStr">
        <is>
          <t>九月</t>
        </is>
      </c>
      <c r="C421" s="0" t="inlineStr">
        <is>
          <t>初六</t>
        </is>
      </c>
    </row>
    <row r="422">
      <c r="A422" s="12" t="n">
        <v>46666</v>
      </c>
      <c r="B422" s="0" t="inlineStr">
        <is>
          <t>九月</t>
        </is>
      </c>
      <c r="C422" s="0" t="inlineStr">
        <is>
          <t>初七</t>
        </is>
      </c>
    </row>
    <row r="423">
      <c r="A423" s="12" t="n">
        <v>46667</v>
      </c>
      <c r="B423" s="0" t="inlineStr">
        <is>
          <t>九月</t>
        </is>
      </c>
      <c r="C423" s="0" t="inlineStr">
        <is>
          <t>初八</t>
        </is>
      </c>
    </row>
    <row r="424">
      <c r="A424" s="12" t="n">
        <v>46668</v>
      </c>
      <c r="B424" s="0" t="inlineStr">
        <is>
          <t>九月</t>
        </is>
      </c>
      <c r="C424" s="0" t="inlineStr">
        <is>
          <t>初九</t>
        </is>
      </c>
    </row>
    <row r="425">
      <c r="A425" s="12" t="n">
        <v>46669</v>
      </c>
      <c r="B425" s="0" t="inlineStr">
        <is>
          <t>九月</t>
        </is>
      </c>
      <c r="C425" s="0" t="inlineStr">
        <is>
          <t>初十</t>
        </is>
      </c>
    </row>
    <row r="426">
      <c r="A426" s="12" t="n">
        <v>46670</v>
      </c>
      <c r="B426" s="0" t="inlineStr">
        <is>
          <t>九月</t>
        </is>
      </c>
      <c r="C426" s="0" t="inlineStr">
        <is>
          <t>十一</t>
        </is>
      </c>
    </row>
    <row r="427">
      <c r="A427" s="12" t="n">
        <v>46671</v>
      </c>
      <c r="B427" s="0" t="inlineStr">
        <is>
          <t>九月</t>
        </is>
      </c>
      <c r="C427" s="0" t="inlineStr">
        <is>
          <t>十二</t>
        </is>
      </c>
    </row>
    <row r="428">
      <c r="A428" s="12" t="n">
        <v>46672</v>
      </c>
      <c r="B428" s="0" t="inlineStr">
        <is>
          <t>九月</t>
        </is>
      </c>
      <c r="C428" s="0" t="inlineStr">
        <is>
          <t>十三</t>
        </is>
      </c>
    </row>
    <row r="429">
      <c r="A429" s="12" t="n">
        <v>46673</v>
      </c>
      <c r="B429" s="0" t="inlineStr">
        <is>
          <t>九月</t>
        </is>
      </c>
      <c r="C429" s="0" t="inlineStr">
        <is>
          <t>十四</t>
        </is>
      </c>
    </row>
    <row r="430">
      <c r="A430" s="12" t="n">
        <v>46674</v>
      </c>
      <c r="B430" s="0" t="inlineStr">
        <is>
          <t>九月</t>
        </is>
      </c>
      <c r="C430" s="0" t="inlineStr">
        <is>
          <t>十五</t>
        </is>
      </c>
    </row>
    <row r="431">
      <c r="A431" s="12" t="n">
        <v>46675</v>
      </c>
      <c r="B431" s="0" t="inlineStr">
        <is>
          <t>九月</t>
        </is>
      </c>
      <c r="C431" s="0" t="inlineStr">
        <is>
          <t>十六</t>
        </is>
      </c>
    </row>
    <row r="432">
      <c r="A432" s="12" t="n">
        <v>46676</v>
      </c>
      <c r="B432" s="0" t="inlineStr">
        <is>
          <t>九月</t>
        </is>
      </c>
      <c r="C432" s="0" t="inlineStr">
        <is>
          <t>十七</t>
        </is>
      </c>
    </row>
    <row r="433">
      <c r="A433" s="12" t="n">
        <v>46677</v>
      </c>
      <c r="B433" s="0" t="inlineStr">
        <is>
          <t>九月</t>
        </is>
      </c>
      <c r="C433" s="0" t="inlineStr">
        <is>
          <t>十八</t>
        </is>
      </c>
    </row>
    <row r="434">
      <c r="A434" s="12" t="n">
        <v>46678</v>
      </c>
      <c r="B434" s="0" t="inlineStr">
        <is>
          <t>九月</t>
        </is>
      </c>
      <c r="C434" s="0" t="inlineStr">
        <is>
          <t>十九</t>
        </is>
      </c>
    </row>
    <row r="435">
      <c r="A435" s="12" t="n">
        <v>46679</v>
      </c>
      <c r="B435" s="0" t="inlineStr">
        <is>
          <t>九月</t>
        </is>
      </c>
      <c r="C435" s="0" t="inlineStr">
        <is>
          <t>二十</t>
        </is>
      </c>
    </row>
    <row r="436">
      <c r="A436" s="12" t="n">
        <v>46680</v>
      </c>
      <c r="B436" s="0" t="inlineStr">
        <is>
          <t>九月</t>
        </is>
      </c>
      <c r="C436" s="0" t="inlineStr">
        <is>
          <t>廿一</t>
        </is>
      </c>
    </row>
    <row r="437">
      <c r="A437" s="12" t="n">
        <v>46681</v>
      </c>
      <c r="B437" s="0" t="inlineStr">
        <is>
          <t>九月</t>
        </is>
      </c>
      <c r="C437" s="0" t="inlineStr">
        <is>
          <t>廿二</t>
        </is>
      </c>
    </row>
    <row r="438">
      <c r="A438" s="12" t="n">
        <v>46682</v>
      </c>
      <c r="B438" s="0" t="inlineStr">
        <is>
          <t>九月</t>
        </is>
      </c>
      <c r="C438" s="0" t="inlineStr">
        <is>
          <t>廿三</t>
        </is>
      </c>
    </row>
    <row r="439">
      <c r="A439" s="12" t="n">
        <v>46683</v>
      </c>
      <c r="B439" s="0" t="inlineStr">
        <is>
          <t>九月</t>
        </is>
      </c>
      <c r="C439" s="0" t="inlineStr">
        <is>
          <t>廿四</t>
        </is>
      </c>
    </row>
    <row r="440">
      <c r="A440" s="12" t="n">
        <v>46684</v>
      </c>
      <c r="B440" s="0" t="inlineStr">
        <is>
          <t>九月</t>
        </is>
      </c>
      <c r="C440" s="0" t="inlineStr">
        <is>
          <t>廿五</t>
        </is>
      </c>
    </row>
    <row r="441">
      <c r="A441" s="12" t="n">
        <v>46685</v>
      </c>
      <c r="B441" s="0" t="inlineStr">
        <is>
          <t>九月</t>
        </is>
      </c>
      <c r="C441" s="0" t="inlineStr">
        <is>
          <t>廿六</t>
        </is>
      </c>
    </row>
    <row r="442">
      <c r="A442" s="12" t="n">
        <v>46686</v>
      </c>
      <c r="B442" s="0" t="inlineStr">
        <is>
          <t>九月</t>
        </is>
      </c>
      <c r="C442" s="0" t="inlineStr">
        <is>
          <t>廿七</t>
        </is>
      </c>
    </row>
    <row r="443">
      <c r="A443" s="12" t="n">
        <v>46687</v>
      </c>
      <c r="B443" s="0" t="inlineStr">
        <is>
          <t>九月</t>
        </is>
      </c>
      <c r="C443" s="0" t="inlineStr">
        <is>
          <t>廿八</t>
        </is>
      </c>
    </row>
    <row r="444">
      <c r="A444" s="12" t="n">
        <v>46688</v>
      </c>
      <c r="B444" s="0" t="inlineStr">
        <is>
          <t>九月</t>
        </is>
      </c>
      <c r="C444" s="0" t="inlineStr">
        <is>
          <t>廿九</t>
        </is>
      </c>
    </row>
    <row r="445">
      <c r="A445" s="12" t="n">
        <v>46689</v>
      </c>
      <c r="B445" s="0" t="inlineStr">
        <is>
          <t>十月</t>
        </is>
      </c>
      <c r="C445" s="0" t="inlineStr">
        <is>
          <t>初一</t>
        </is>
      </c>
    </row>
    <row r="446">
      <c r="A446" s="12" t="n">
        <v>46690</v>
      </c>
      <c r="B446" s="0" t="inlineStr">
        <is>
          <t>十月</t>
        </is>
      </c>
      <c r="C446" s="0" t="inlineStr">
        <is>
          <t>初二</t>
        </is>
      </c>
    </row>
    <row r="447">
      <c r="A447" s="12" t="n">
        <v>46691</v>
      </c>
      <c r="B447" s="0" t="inlineStr">
        <is>
          <t>十月</t>
        </is>
      </c>
      <c r="C447" s="0" t="inlineStr">
        <is>
          <t>初三</t>
        </is>
      </c>
    </row>
    <row r="448">
      <c r="A448" s="12" t="n">
        <v>46692</v>
      </c>
      <c r="B448" s="0" t="inlineStr">
        <is>
          <t>十月</t>
        </is>
      </c>
      <c r="C448" s="0" t="inlineStr">
        <is>
          <t>初四</t>
        </is>
      </c>
    </row>
    <row r="449">
      <c r="A449" s="12" t="n">
        <v>46693</v>
      </c>
      <c r="B449" s="0" t="inlineStr">
        <is>
          <t>十月</t>
        </is>
      </c>
      <c r="C449" s="0" t="inlineStr">
        <is>
          <t>初五</t>
        </is>
      </c>
    </row>
    <row r="450">
      <c r="A450" s="12" t="n">
        <v>46694</v>
      </c>
      <c r="B450" s="0" t="inlineStr">
        <is>
          <t>十月</t>
        </is>
      </c>
      <c r="C450" s="0" t="inlineStr">
        <is>
          <t>初六</t>
        </is>
      </c>
    </row>
    <row r="451">
      <c r="A451" s="12" t="n">
        <v>46695</v>
      </c>
      <c r="B451" s="0" t="inlineStr">
        <is>
          <t>十月</t>
        </is>
      </c>
      <c r="C451" s="0" t="inlineStr">
        <is>
          <t>初七</t>
        </is>
      </c>
    </row>
    <row r="452">
      <c r="A452" s="12" t="n">
        <v>46696</v>
      </c>
      <c r="B452" s="0" t="inlineStr">
        <is>
          <t>十月</t>
        </is>
      </c>
      <c r="C452" s="0" t="inlineStr">
        <is>
          <t>初八</t>
        </is>
      </c>
    </row>
    <row r="453">
      <c r="A453" s="12" t="n">
        <v>46697</v>
      </c>
      <c r="B453" s="0" t="inlineStr">
        <is>
          <t>十月</t>
        </is>
      </c>
      <c r="C453" s="0" t="inlineStr">
        <is>
          <t>初九</t>
        </is>
      </c>
    </row>
    <row r="454">
      <c r="A454" s="12" t="n">
        <v>46698</v>
      </c>
      <c r="B454" s="0" t="inlineStr">
        <is>
          <t>十月</t>
        </is>
      </c>
      <c r="C454" s="0" t="inlineStr">
        <is>
          <t>初十</t>
        </is>
      </c>
    </row>
    <row r="455">
      <c r="A455" s="12" t="n">
        <v>46699</v>
      </c>
      <c r="B455" s="0" t="inlineStr">
        <is>
          <t>十月</t>
        </is>
      </c>
      <c r="C455" s="0" t="inlineStr">
        <is>
          <t>十一</t>
        </is>
      </c>
    </row>
    <row r="456">
      <c r="A456" s="12" t="n">
        <v>46700</v>
      </c>
      <c r="B456" s="0" t="inlineStr">
        <is>
          <t>十月</t>
        </is>
      </c>
      <c r="C456" s="0" t="inlineStr">
        <is>
          <t>十二</t>
        </is>
      </c>
    </row>
    <row r="457">
      <c r="A457" s="12" t="n">
        <v>46701</v>
      </c>
      <c r="B457" s="0" t="inlineStr">
        <is>
          <t>十月</t>
        </is>
      </c>
      <c r="C457" s="0" t="inlineStr">
        <is>
          <t>十三</t>
        </is>
      </c>
    </row>
    <row r="458">
      <c r="A458" s="12" t="n">
        <v>46702</v>
      </c>
      <c r="B458" s="0" t="inlineStr">
        <is>
          <t>十月</t>
        </is>
      </c>
      <c r="C458" s="0" t="inlineStr">
        <is>
          <t>十四</t>
        </is>
      </c>
    </row>
    <row r="459">
      <c r="A459" s="12" t="n">
        <v>46703</v>
      </c>
      <c r="B459" s="0" t="inlineStr">
        <is>
          <t>十月</t>
        </is>
      </c>
      <c r="C459" s="0" t="inlineStr">
        <is>
          <t>十五</t>
        </is>
      </c>
    </row>
    <row r="460">
      <c r="A460" s="12" t="n">
        <v>46704</v>
      </c>
      <c r="B460" s="0" t="inlineStr">
        <is>
          <t>十月</t>
        </is>
      </c>
      <c r="C460" s="0" t="inlineStr">
        <is>
          <t>十六</t>
        </is>
      </c>
    </row>
    <row r="461">
      <c r="A461" s="12" t="n">
        <v>46705</v>
      </c>
      <c r="B461" s="0" t="inlineStr">
        <is>
          <t>十月</t>
        </is>
      </c>
      <c r="C461" s="0" t="inlineStr">
        <is>
          <t>十七</t>
        </is>
      </c>
    </row>
    <row r="462">
      <c r="A462" s="12" t="n">
        <v>46706</v>
      </c>
      <c r="B462" s="0" t="inlineStr">
        <is>
          <t>十月</t>
        </is>
      </c>
      <c r="C462" s="0" t="inlineStr">
        <is>
          <t>十八</t>
        </is>
      </c>
    </row>
    <row r="463">
      <c r="A463" s="12" t="n">
        <v>46707</v>
      </c>
      <c r="B463" s="0" t="inlineStr">
        <is>
          <t>十月</t>
        </is>
      </c>
      <c r="C463" s="0" t="inlineStr">
        <is>
          <t>十九</t>
        </is>
      </c>
    </row>
    <row r="464">
      <c r="A464" s="12" t="n">
        <v>46708</v>
      </c>
      <c r="B464" s="0" t="inlineStr">
        <is>
          <t>十月</t>
        </is>
      </c>
      <c r="C464" s="0" t="inlineStr">
        <is>
          <t>二十</t>
        </is>
      </c>
    </row>
    <row r="465">
      <c r="A465" s="12" t="n">
        <v>46709</v>
      </c>
      <c r="B465" s="0" t="inlineStr">
        <is>
          <t>十月</t>
        </is>
      </c>
      <c r="C465" s="0" t="inlineStr">
        <is>
          <t>廿一</t>
        </is>
      </c>
    </row>
    <row r="466">
      <c r="A466" s="12" t="n">
        <v>46710</v>
      </c>
      <c r="B466" s="0" t="inlineStr">
        <is>
          <t>十月</t>
        </is>
      </c>
      <c r="C466" s="0" t="inlineStr">
        <is>
          <t>廿二</t>
        </is>
      </c>
    </row>
    <row r="467">
      <c r="A467" s="12" t="n">
        <v>46711</v>
      </c>
      <c r="B467" s="0" t="inlineStr">
        <is>
          <t>十月</t>
        </is>
      </c>
      <c r="C467" s="0" t="inlineStr">
        <is>
          <t>廿三</t>
        </is>
      </c>
    </row>
    <row r="468">
      <c r="A468" s="12" t="n">
        <v>46712</v>
      </c>
      <c r="B468" s="0" t="inlineStr">
        <is>
          <t>十月</t>
        </is>
      </c>
      <c r="C468" s="0" t="inlineStr">
        <is>
          <t>廿四</t>
        </is>
      </c>
    </row>
    <row r="469">
      <c r="A469" s="12" t="n">
        <v>46713</v>
      </c>
      <c r="B469" s="0" t="inlineStr">
        <is>
          <t>十月</t>
        </is>
      </c>
      <c r="C469" s="0" t="inlineStr">
        <is>
          <t>廿五</t>
        </is>
      </c>
    </row>
    <row r="470">
      <c r="A470" s="12" t="n">
        <v>46714</v>
      </c>
      <c r="B470" s="0" t="inlineStr">
        <is>
          <t>十月</t>
        </is>
      </c>
      <c r="C470" s="0" t="inlineStr">
        <is>
          <t>廿六</t>
        </is>
      </c>
    </row>
    <row r="471">
      <c r="A471" s="12" t="n">
        <v>46715</v>
      </c>
      <c r="B471" s="0" t="inlineStr">
        <is>
          <t>十月</t>
        </is>
      </c>
      <c r="C471" s="0" t="inlineStr">
        <is>
          <t>廿七</t>
        </is>
      </c>
    </row>
    <row r="472">
      <c r="A472" s="12" t="n">
        <v>46716</v>
      </c>
      <c r="B472" s="0" t="inlineStr">
        <is>
          <t>十月</t>
        </is>
      </c>
      <c r="C472" s="0" t="inlineStr">
        <is>
          <t>廿八</t>
        </is>
      </c>
    </row>
    <row r="473">
      <c r="A473" s="12" t="n">
        <v>46717</v>
      </c>
      <c r="B473" s="0" t="inlineStr">
        <is>
          <t>十月</t>
        </is>
      </c>
      <c r="C473" s="0" t="inlineStr">
        <is>
          <t>廿九</t>
        </is>
      </c>
    </row>
    <row r="474">
      <c r="A474" s="12" t="n">
        <v>46718</v>
      </c>
      <c r="B474" s="0" t="inlineStr">
        <is>
          <t>十月</t>
        </is>
      </c>
      <c r="C474" s="0" t="inlineStr">
        <is>
          <t>三十</t>
        </is>
      </c>
    </row>
    <row r="475">
      <c r="A475" s="12" t="n">
        <v>46719</v>
      </c>
      <c r="B475" s="0" t="inlineStr">
        <is>
          <t>十一月</t>
        </is>
      </c>
      <c r="C475" s="0" t="inlineStr">
        <is>
          <t>初一</t>
        </is>
      </c>
    </row>
    <row r="476">
      <c r="A476" s="12" t="n">
        <v>46720</v>
      </c>
      <c r="B476" s="0" t="inlineStr">
        <is>
          <t>十一月</t>
        </is>
      </c>
      <c r="C476" s="0" t="inlineStr">
        <is>
          <t>初二</t>
        </is>
      </c>
    </row>
    <row r="477">
      <c r="A477" s="12" t="n">
        <v>46721</v>
      </c>
      <c r="B477" s="0" t="inlineStr">
        <is>
          <t>十一月</t>
        </is>
      </c>
      <c r="C477" s="0" t="inlineStr">
        <is>
          <t>初三</t>
        </is>
      </c>
    </row>
    <row r="478">
      <c r="A478" s="12" t="n">
        <v>46722</v>
      </c>
      <c r="B478" s="0" t="inlineStr">
        <is>
          <t>十一月</t>
        </is>
      </c>
      <c r="C478" s="0" t="inlineStr">
        <is>
          <t>初四</t>
        </is>
      </c>
    </row>
    <row r="479">
      <c r="A479" s="12" t="n">
        <v>46723</v>
      </c>
      <c r="B479" s="0" t="inlineStr">
        <is>
          <t>十一月</t>
        </is>
      </c>
      <c r="C479" s="0" t="inlineStr">
        <is>
          <t>初五</t>
        </is>
      </c>
    </row>
    <row r="480">
      <c r="A480" s="12" t="n">
        <v>46724</v>
      </c>
      <c r="B480" s="0" t="inlineStr">
        <is>
          <t>十一月</t>
        </is>
      </c>
      <c r="C480" s="0" t="inlineStr">
        <is>
          <t>初六</t>
        </is>
      </c>
    </row>
    <row r="481">
      <c r="A481" s="12" t="n">
        <v>46725</v>
      </c>
      <c r="B481" s="0" t="inlineStr">
        <is>
          <t>十一月</t>
        </is>
      </c>
      <c r="C481" s="0" t="inlineStr">
        <is>
          <t>初七</t>
        </is>
      </c>
    </row>
    <row r="482">
      <c r="A482" s="12" t="n">
        <v>46726</v>
      </c>
      <c r="B482" s="0" t="inlineStr">
        <is>
          <t>十一月</t>
        </is>
      </c>
      <c r="C482" s="0" t="inlineStr">
        <is>
          <t>初八</t>
        </is>
      </c>
    </row>
    <row r="483">
      <c r="A483" s="12" t="n">
        <v>46727</v>
      </c>
      <c r="B483" s="0" t="inlineStr">
        <is>
          <t>十一月</t>
        </is>
      </c>
      <c r="C483" s="0" t="inlineStr">
        <is>
          <t>初九</t>
        </is>
      </c>
    </row>
    <row r="484">
      <c r="A484" s="12" t="n">
        <v>46728</v>
      </c>
      <c r="B484" s="0" t="inlineStr">
        <is>
          <t>十一月</t>
        </is>
      </c>
      <c r="C484" s="0" t="inlineStr">
        <is>
          <t>初十</t>
        </is>
      </c>
    </row>
    <row r="485">
      <c r="A485" s="12" t="n">
        <v>46729</v>
      </c>
      <c r="B485" s="0" t="inlineStr">
        <is>
          <t>十一月</t>
        </is>
      </c>
      <c r="C485" s="0" t="inlineStr">
        <is>
          <t>十一</t>
        </is>
      </c>
    </row>
    <row r="486">
      <c r="A486" s="12" t="n">
        <v>46730</v>
      </c>
      <c r="B486" s="0" t="inlineStr">
        <is>
          <t>十一月</t>
        </is>
      </c>
      <c r="C486" s="0" t="inlineStr">
        <is>
          <t>十二</t>
        </is>
      </c>
    </row>
    <row r="487">
      <c r="A487" s="12" t="n">
        <v>46731</v>
      </c>
      <c r="B487" s="0" t="inlineStr">
        <is>
          <t>十一月</t>
        </is>
      </c>
      <c r="C487" s="0" t="inlineStr">
        <is>
          <t>十三</t>
        </is>
      </c>
    </row>
    <row r="488">
      <c r="A488" s="12" t="n">
        <v>46732</v>
      </c>
      <c r="B488" s="0" t="inlineStr">
        <is>
          <t>十一月</t>
        </is>
      </c>
      <c r="C488" s="0" t="inlineStr">
        <is>
          <t>十四</t>
        </is>
      </c>
    </row>
    <row r="489">
      <c r="A489" s="12" t="n">
        <v>46733</v>
      </c>
      <c r="B489" s="0" t="inlineStr">
        <is>
          <t>十一月</t>
        </is>
      </c>
      <c r="C489" s="0" t="inlineStr">
        <is>
          <t>十五</t>
        </is>
      </c>
    </row>
    <row r="490">
      <c r="A490" s="12" t="n">
        <v>46734</v>
      </c>
      <c r="B490" s="0" t="inlineStr">
        <is>
          <t>十一月</t>
        </is>
      </c>
      <c r="C490" s="0" t="inlineStr">
        <is>
          <t>十六</t>
        </is>
      </c>
    </row>
    <row r="491">
      <c r="A491" s="12" t="n">
        <v>46735</v>
      </c>
      <c r="B491" s="0" t="inlineStr">
        <is>
          <t>十一月</t>
        </is>
      </c>
      <c r="C491" s="0" t="inlineStr">
        <is>
          <t>十七</t>
        </is>
      </c>
    </row>
    <row r="492">
      <c r="A492" s="12" t="n">
        <v>46736</v>
      </c>
      <c r="B492" s="0" t="inlineStr">
        <is>
          <t>十一月</t>
        </is>
      </c>
      <c r="C492" s="0" t="inlineStr">
        <is>
          <t>十八</t>
        </is>
      </c>
    </row>
    <row r="493">
      <c r="A493" s="12" t="n">
        <v>46737</v>
      </c>
      <c r="B493" s="0" t="inlineStr">
        <is>
          <t>十一月</t>
        </is>
      </c>
      <c r="C493" s="0" t="inlineStr">
        <is>
          <t>十九</t>
        </is>
      </c>
    </row>
    <row r="494">
      <c r="A494" s="12" t="n">
        <v>46738</v>
      </c>
      <c r="B494" s="0" t="inlineStr">
        <is>
          <t>十一月</t>
        </is>
      </c>
      <c r="C494" s="0" t="inlineStr">
        <is>
          <t>二十</t>
        </is>
      </c>
    </row>
    <row r="495">
      <c r="A495" s="12" t="n">
        <v>46739</v>
      </c>
      <c r="B495" s="0" t="inlineStr">
        <is>
          <t>十一月</t>
        </is>
      </c>
      <c r="C495" s="0" t="inlineStr">
        <is>
          <t>廿一</t>
        </is>
      </c>
    </row>
    <row r="496">
      <c r="A496" s="12" t="n">
        <v>46740</v>
      </c>
      <c r="B496" s="0" t="inlineStr">
        <is>
          <t>十一月</t>
        </is>
      </c>
      <c r="C496" s="0" t="inlineStr">
        <is>
          <t>廿二</t>
        </is>
      </c>
    </row>
    <row r="497">
      <c r="A497" s="12" t="n">
        <v>46741</v>
      </c>
      <c r="B497" s="0" t="inlineStr">
        <is>
          <t>十一月</t>
        </is>
      </c>
      <c r="C497" s="0" t="inlineStr">
        <is>
          <t>廿三</t>
        </is>
      </c>
    </row>
    <row r="498">
      <c r="A498" s="12" t="n">
        <v>46742</v>
      </c>
      <c r="B498" s="0" t="inlineStr">
        <is>
          <t>十一月</t>
        </is>
      </c>
      <c r="C498" s="0" t="inlineStr">
        <is>
          <t>廿四</t>
        </is>
      </c>
    </row>
    <row r="499">
      <c r="A499" s="12" t="n">
        <v>46743</v>
      </c>
      <c r="B499" s="0" t="inlineStr">
        <is>
          <t>十一月</t>
        </is>
      </c>
      <c r="C499" s="0" t="inlineStr">
        <is>
          <t>廿五</t>
        </is>
      </c>
    </row>
    <row r="500">
      <c r="A500" s="12" t="n">
        <v>46744</v>
      </c>
      <c r="B500" s="0" t="inlineStr">
        <is>
          <t>十一月</t>
        </is>
      </c>
      <c r="C500" s="0" t="inlineStr">
        <is>
          <t>廿六</t>
        </is>
      </c>
    </row>
    <row r="501">
      <c r="A501" s="12" t="n">
        <v>46745</v>
      </c>
      <c r="B501" s="0" t="inlineStr">
        <is>
          <t>十一月</t>
        </is>
      </c>
      <c r="C501" s="0" t="inlineStr">
        <is>
          <t>廿七</t>
        </is>
      </c>
    </row>
    <row r="502">
      <c r="A502" s="12" t="n">
        <v>46746</v>
      </c>
      <c r="B502" s="0" t="inlineStr">
        <is>
          <t>十一月</t>
        </is>
      </c>
      <c r="C502" s="0" t="inlineStr">
        <is>
          <t>廿八</t>
        </is>
      </c>
    </row>
    <row r="503">
      <c r="A503" s="12" t="n">
        <v>46747</v>
      </c>
      <c r="B503" s="0" t="inlineStr">
        <is>
          <t>十一月</t>
        </is>
      </c>
      <c r="C503" s="0" t="inlineStr">
        <is>
          <t>廿九</t>
        </is>
      </c>
    </row>
    <row r="504">
      <c r="A504" s="12" t="n">
        <v>46748</v>
      </c>
      <c r="B504" s="0" t="inlineStr">
        <is>
          <t>十一月</t>
        </is>
      </c>
      <c r="C504" s="0" t="inlineStr">
        <is>
          <t>三十</t>
        </is>
      </c>
    </row>
    <row r="505">
      <c r="A505" s="12" t="n">
        <v>46749</v>
      </c>
      <c r="B505" s="0" t="inlineStr">
        <is>
          <t>十二月</t>
        </is>
      </c>
      <c r="C505" s="0" t="inlineStr">
        <is>
          <t>初一</t>
        </is>
      </c>
    </row>
    <row r="506">
      <c r="A506" s="12" t="n">
        <v>46750</v>
      </c>
      <c r="B506" s="0" t="inlineStr">
        <is>
          <t>十二月</t>
        </is>
      </c>
      <c r="C506" s="0" t="inlineStr">
        <is>
          <t>初二</t>
        </is>
      </c>
    </row>
    <row r="507">
      <c r="A507" s="12" t="n">
        <v>46751</v>
      </c>
      <c r="B507" s="0" t="inlineStr">
        <is>
          <t>十二月</t>
        </is>
      </c>
      <c r="C507" s="0" t="inlineStr">
        <is>
          <t>初三</t>
        </is>
      </c>
    </row>
    <row r="508">
      <c r="A508" s="12" t="n">
        <v>46752</v>
      </c>
      <c r="B508" s="0" t="inlineStr">
        <is>
          <t>十二月</t>
        </is>
      </c>
      <c r="C508" s="0" t="inlineStr">
        <is>
          <t>初四</t>
        </is>
      </c>
    </row>
    <row r="509">
      <c r="A509" s="12" t="n">
        <v>46753</v>
      </c>
      <c r="B509" s="0" t="inlineStr">
        <is>
          <t>十二月</t>
        </is>
      </c>
      <c r="C509" s="0" t="inlineStr">
        <is>
          <t>初五</t>
        </is>
      </c>
    </row>
    <row r="510">
      <c r="A510" s="12" t="n">
        <v>46754</v>
      </c>
      <c r="B510" s="0" t="inlineStr">
        <is>
          <t>十二月</t>
        </is>
      </c>
      <c r="C510" s="0" t="inlineStr">
        <is>
          <t>初六</t>
        </is>
      </c>
    </row>
    <row r="511">
      <c r="A511" s="12" t="n">
        <v>46755</v>
      </c>
      <c r="B511" s="0" t="inlineStr">
        <is>
          <t>十二月</t>
        </is>
      </c>
      <c r="C511" s="0" t="inlineStr">
        <is>
          <t>初七</t>
        </is>
      </c>
    </row>
    <row r="512">
      <c r="A512" s="12" t="n">
        <v>46756</v>
      </c>
      <c r="B512" s="0" t="inlineStr">
        <is>
          <t>十二月</t>
        </is>
      </c>
      <c r="C512" s="0" t="inlineStr">
        <is>
          <t>初八</t>
        </is>
      </c>
    </row>
    <row r="513">
      <c r="A513" s="12" t="n">
        <v>46757</v>
      </c>
      <c r="B513" s="0" t="inlineStr">
        <is>
          <t>十二月</t>
        </is>
      </c>
      <c r="C513" s="0" t="inlineStr">
        <is>
          <t>初九</t>
        </is>
      </c>
    </row>
    <row r="514">
      <c r="A514" s="12" t="n">
        <v>46758</v>
      </c>
      <c r="B514" s="0" t="inlineStr">
        <is>
          <t>十二月</t>
        </is>
      </c>
      <c r="C514" s="0" t="inlineStr">
        <is>
          <t>初十</t>
        </is>
      </c>
    </row>
    <row r="515">
      <c r="A515" s="12" t="n">
        <v>46759</v>
      </c>
      <c r="B515" s="0" t="inlineStr">
        <is>
          <t>十二月</t>
        </is>
      </c>
      <c r="C515" s="0" t="inlineStr">
        <is>
          <t>十一</t>
        </is>
      </c>
    </row>
    <row r="516">
      <c r="A516" s="12" t="n">
        <v>46760</v>
      </c>
      <c r="B516" s="0" t="inlineStr">
        <is>
          <t>十二月</t>
        </is>
      </c>
      <c r="C516" s="0" t="inlineStr">
        <is>
          <t>十二</t>
        </is>
      </c>
    </row>
    <row r="517">
      <c r="A517" s="12" t="n">
        <v>46761</v>
      </c>
      <c r="B517" s="0" t="inlineStr">
        <is>
          <t>十二月</t>
        </is>
      </c>
      <c r="C517" s="0" t="inlineStr">
        <is>
          <t>十三</t>
        </is>
      </c>
    </row>
    <row r="518">
      <c r="A518" s="12" t="n">
        <v>46762</v>
      </c>
      <c r="B518" s="0" t="inlineStr">
        <is>
          <t>十二月</t>
        </is>
      </c>
      <c r="C518" s="0" t="inlineStr">
        <is>
          <t>十四</t>
        </is>
      </c>
    </row>
    <row r="519">
      <c r="A519" s="12" t="n">
        <v>46763</v>
      </c>
      <c r="B519" s="0" t="inlineStr">
        <is>
          <t>十二月</t>
        </is>
      </c>
      <c r="C519" s="0" t="inlineStr">
        <is>
          <t>十五</t>
        </is>
      </c>
    </row>
    <row r="520">
      <c r="A520" s="12" t="n">
        <v>46764</v>
      </c>
      <c r="B520" s="0" t="inlineStr">
        <is>
          <t>十二月</t>
        </is>
      </c>
      <c r="C520" s="0" t="inlineStr">
        <is>
          <t>十六</t>
        </is>
      </c>
    </row>
    <row r="521">
      <c r="A521" s="12" t="n">
        <v>46765</v>
      </c>
      <c r="B521" s="0" t="inlineStr">
        <is>
          <t>十二月</t>
        </is>
      </c>
      <c r="C521" s="0" t="inlineStr">
        <is>
          <t>十七</t>
        </is>
      </c>
    </row>
    <row r="522">
      <c r="A522" s="12" t="n">
        <v>46766</v>
      </c>
      <c r="B522" s="0" t="inlineStr">
        <is>
          <t>十二月</t>
        </is>
      </c>
      <c r="C522" s="0" t="inlineStr">
        <is>
          <t>十八</t>
        </is>
      </c>
    </row>
    <row r="523">
      <c r="A523" s="12" t="n">
        <v>46767</v>
      </c>
      <c r="B523" s="0" t="inlineStr">
        <is>
          <t>十二月</t>
        </is>
      </c>
      <c r="C523" s="0" t="inlineStr">
        <is>
          <t>十九</t>
        </is>
      </c>
    </row>
    <row r="524">
      <c r="A524" s="12" t="n">
        <v>46768</v>
      </c>
      <c r="B524" s="0" t="inlineStr">
        <is>
          <t>十二月</t>
        </is>
      </c>
      <c r="C524" s="0" t="inlineStr">
        <is>
          <t>二十</t>
        </is>
      </c>
    </row>
    <row r="525">
      <c r="A525" s="12" t="n">
        <v>46769</v>
      </c>
      <c r="B525" s="0" t="inlineStr">
        <is>
          <t>十二月</t>
        </is>
      </c>
      <c r="C525" s="0" t="inlineStr">
        <is>
          <t>廿一</t>
        </is>
      </c>
    </row>
    <row r="526">
      <c r="A526" s="12" t="n">
        <v>46770</v>
      </c>
      <c r="B526" s="0" t="inlineStr">
        <is>
          <t>十二月</t>
        </is>
      </c>
      <c r="C526" s="0" t="inlineStr">
        <is>
          <t>廿二</t>
        </is>
      </c>
    </row>
    <row r="527">
      <c r="A527" s="12" t="n">
        <v>46771</v>
      </c>
      <c r="B527" s="0" t="inlineStr">
        <is>
          <t>十二月</t>
        </is>
      </c>
      <c r="C527" s="0" t="inlineStr">
        <is>
          <t>廿三</t>
        </is>
      </c>
    </row>
    <row r="528">
      <c r="A528" s="12" t="n">
        <v>46772</v>
      </c>
      <c r="B528" s="0" t="inlineStr">
        <is>
          <t>十二月</t>
        </is>
      </c>
      <c r="C528" s="0" t="inlineStr">
        <is>
          <t>廿四</t>
        </is>
      </c>
    </row>
    <row r="529">
      <c r="A529" s="12" t="n">
        <v>46773</v>
      </c>
      <c r="B529" s="0" t="inlineStr">
        <is>
          <t>十二月</t>
        </is>
      </c>
      <c r="C529" s="0" t="inlineStr">
        <is>
          <t>廿五</t>
        </is>
      </c>
    </row>
    <row r="530">
      <c r="A530" s="12" t="n">
        <v>46774</v>
      </c>
      <c r="B530" s="0" t="inlineStr">
        <is>
          <t>十二月</t>
        </is>
      </c>
      <c r="C530" s="0" t="inlineStr">
        <is>
          <t>廿六</t>
        </is>
      </c>
    </row>
    <row r="531">
      <c r="A531" s="12" t="n">
        <v>46775</v>
      </c>
      <c r="B531" s="0" t="inlineStr">
        <is>
          <t>十二月</t>
        </is>
      </c>
      <c r="C531" s="0" t="inlineStr">
        <is>
          <t>廿七</t>
        </is>
      </c>
    </row>
    <row r="532">
      <c r="A532" s="12" t="n">
        <v>46776</v>
      </c>
      <c r="B532" s="0" t="inlineStr">
        <is>
          <t>十二月</t>
        </is>
      </c>
      <c r="C532" s="0" t="inlineStr">
        <is>
          <t>廿八</t>
        </is>
      </c>
    </row>
    <row r="533">
      <c r="A533" s="12" t="n">
        <v>46777</v>
      </c>
      <c r="B533" s="0" t="inlineStr">
        <is>
          <t>十二月</t>
        </is>
      </c>
      <c r="C533" s="0" t="inlineStr">
        <is>
          <t>廿九</t>
        </is>
      </c>
    </row>
    <row r="534">
      <c r="A534" s="12" t="n">
        <v>46778</v>
      </c>
      <c r="B534" s="0" t="inlineStr">
        <is>
          <t>正月</t>
        </is>
      </c>
      <c r="C534" s="0" t="inlineStr">
        <is>
          <t>初一</t>
        </is>
      </c>
    </row>
    <row r="535">
      <c r="A535" s="12" t="n">
        <v>46779</v>
      </c>
      <c r="B535" s="0" t="inlineStr">
        <is>
          <t>正月</t>
        </is>
      </c>
      <c r="C535" s="0" t="inlineStr">
        <is>
          <t>初二</t>
        </is>
      </c>
    </row>
    <row r="536">
      <c r="A536" s="12" t="n">
        <v>46780</v>
      </c>
      <c r="B536" s="0" t="inlineStr">
        <is>
          <t>正月</t>
        </is>
      </c>
      <c r="C536" s="0" t="inlineStr">
        <is>
          <t>初三</t>
        </is>
      </c>
    </row>
    <row r="537">
      <c r="A537" s="12" t="n">
        <v>46781</v>
      </c>
      <c r="B537" s="0" t="inlineStr">
        <is>
          <t>正月</t>
        </is>
      </c>
      <c r="C537" s="0" t="inlineStr">
        <is>
          <t>初四</t>
        </is>
      </c>
    </row>
    <row r="538">
      <c r="A538" s="12" t="n">
        <v>46782</v>
      </c>
      <c r="B538" s="0" t="inlineStr">
        <is>
          <t>正月</t>
        </is>
      </c>
      <c r="C538" s="0" t="inlineStr">
        <is>
          <t>初五</t>
        </is>
      </c>
    </row>
    <row r="539">
      <c r="A539" s="12" t="n">
        <v>46783</v>
      </c>
      <c r="B539" s="0" t="inlineStr">
        <is>
          <t>正月</t>
        </is>
      </c>
      <c r="C539" s="0" t="inlineStr">
        <is>
          <t>初六</t>
        </is>
      </c>
    </row>
    <row r="540">
      <c r="A540" s="12" t="n">
        <v>46784</v>
      </c>
      <c r="B540" s="0" t="inlineStr">
        <is>
          <t>正月</t>
        </is>
      </c>
      <c r="C540" s="0" t="inlineStr">
        <is>
          <t>初七</t>
        </is>
      </c>
    </row>
    <row r="541">
      <c r="A541" s="12" t="n">
        <v>46785</v>
      </c>
      <c r="B541" s="0" t="inlineStr">
        <is>
          <t>正月</t>
        </is>
      </c>
      <c r="C541" s="0" t="inlineStr">
        <is>
          <t>初八</t>
        </is>
      </c>
    </row>
    <row r="542">
      <c r="A542" s="12" t="n">
        <v>46786</v>
      </c>
      <c r="B542" s="0" t="inlineStr">
        <is>
          <t>正月</t>
        </is>
      </c>
      <c r="C542" s="0" t="inlineStr">
        <is>
          <t>初九</t>
        </is>
      </c>
    </row>
    <row r="543">
      <c r="A543" s="12" t="n">
        <v>46787</v>
      </c>
      <c r="B543" s="0" t="inlineStr">
        <is>
          <t>正月</t>
        </is>
      </c>
      <c r="C543" s="0" t="inlineStr">
        <is>
          <t>初十</t>
        </is>
      </c>
    </row>
    <row r="544">
      <c r="A544" s="12" t="n">
        <v>46788</v>
      </c>
      <c r="B544" s="0" t="inlineStr">
        <is>
          <t>正月</t>
        </is>
      </c>
      <c r="C544" s="0" t="inlineStr">
        <is>
          <t>十一</t>
        </is>
      </c>
    </row>
    <row r="545">
      <c r="A545" s="12" t="n">
        <v>46789</v>
      </c>
      <c r="B545" s="0" t="inlineStr">
        <is>
          <t>正月</t>
        </is>
      </c>
      <c r="C545" s="0" t="inlineStr">
        <is>
          <t>十二</t>
        </is>
      </c>
    </row>
    <row r="546">
      <c r="A546" s="12" t="n">
        <v>46790</v>
      </c>
      <c r="B546" s="0" t="inlineStr">
        <is>
          <t>正月</t>
        </is>
      </c>
      <c r="C546" s="0" t="inlineStr">
        <is>
          <t>十三</t>
        </is>
      </c>
    </row>
    <row r="547">
      <c r="A547" s="12" t="n">
        <v>46791</v>
      </c>
      <c r="B547" s="0" t="inlineStr">
        <is>
          <t>正月</t>
        </is>
      </c>
      <c r="C547" s="0" t="inlineStr">
        <is>
          <t>十四</t>
        </is>
      </c>
    </row>
    <row r="548">
      <c r="A548" s="12" t="n">
        <v>46792</v>
      </c>
      <c r="B548" s="0" t="inlineStr">
        <is>
          <t>正月</t>
        </is>
      </c>
      <c r="C548" s="0" t="inlineStr">
        <is>
          <t>十五</t>
        </is>
      </c>
    </row>
    <row r="549">
      <c r="A549" s="12" t="n">
        <v>46793</v>
      </c>
      <c r="B549" s="0" t="inlineStr">
        <is>
          <t>正月</t>
        </is>
      </c>
      <c r="C549" s="0" t="inlineStr">
        <is>
          <t>十六</t>
        </is>
      </c>
    </row>
    <row r="550">
      <c r="A550" s="12" t="n">
        <v>46794</v>
      </c>
      <c r="B550" s="0" t="inlineStr">
        <is>
          <t>正月</t>
        </is>
      </c>
      <c r="C550" s="0" t="inlineStr">
        <is>
          <t>十七</t>
        </is>
      </c>
    </row>
    <row r="551">
      <c r="A551" s="12" t="n">
        <v>46795</v>
      </c>
      <c r="B551" s="0" t="inlineStr">
        <is>
          <t>正月</t>
        </is>
      </c>
      <c r="C551" s="0" t="inlineStr">
        <is>
          <t>十八</t>
        </is>
      </c>
    </row>
    <row r="552">
      <c r="A552" s="12" t="n">
        <v>46796</v>
      </c>
      <c r="B552" s="0" t="inlineStr">
        <is>
          <t>正月</t>
        </is>
      </c>
      <c r="C552" s="0" t="inlineStr">
        <is>
          <t>十九</t>
        </is>
      </c>
    </row>
    <row r="553">
      <c r="A553" s="12" t="n">
        <v>46797</v>
      </c>
      <c r="B553" s="0" t="inlineStr">
        <is>
          <t>正月</t>
        </is>
      </c>
      <c r="C553" s="0" t="inlineStr">
        <is>
          <t>二十</t>
        </is>
      </c>
    </row>
    <row r="554">
      <c r="A554" s="12" t="n">
        <v>46798</v>
      </c>
      <c r="B554" s="0" t="inlineStr">
        <is>
          <t>正月</t>
        </is>
      </c>
      <c r="C554" s="0" t="inlineStr">
        <is>
          <t>廿一</t>
        </is>
      </c>
    </row>
    <row r="555">
      <c r="A555" s="12" t="n">
        <v>46799</v>
      </c>
      <c r="B555" s="0" t="inlineStr">
        <is>
          <t>正月</t>
        </is>
      </c>
      <c r="C555" s="0" t="inlineStr">
        <is>
          <t>廿二</t>
        </is>
      </c>
    </row>
    <row r="556">
      <c r="A556" s="12" t="n">
        <v>46800</v>
      </c>
      <c r="B556" s="0" t="inlineStr">
        <is>
          <t>正月</t>
        </is>
      </c>
      <c r="C556" s="0" t="inlineStr">
        <is>
          <t>廿三</t>
        </is>
      </c>
    </row>
    <row r="557">
      <c r="A557" s="12" t="n">
        <v>46801</v>
      </c>
      <c r="B557" s="0" t="inlineStr">
        <is>
          <t>正月</t>
        </is>
      </c>
      <c r="C557" s="0" t="inlineStr">
        <is>
          <t>廿四</t>
        </is>
      </c>
    </row>
    <row r="558">
      <c r="A558" s="12" t="n">
        <v>46802</v>
      </c>
      <c r="B558" s="0" t="inlineStr">
        <is>
          <t>正月</t>
        </is>
      </c>
      <c r="C558" s="0" t="inlineStr">
        <is>
          <t>廿五</t>
        </is>
      </c>
    </row>
    <row r="559">
      <c r="A559" s="12" t="n">
        <v>46803</v>
      </c>
      <c r="B559" s="0" t="inlineStr">
        <is>
          <t>正月</t>
        </is>
      </c>
      <c r="C559" s="0" t="inlineStr">
        <is>
          <t>廿六</t>
        </is>
      </c>
    </row>
    <row r="560">
      <c r="A560" s="12" t="n">
        <v>46804</v>
      </c>
      <c r="B560" s="0" t="inlineStr">
        <is>
          <t>正月</t>
        </is>
      </c>
      <c r="C560" s="0" t="inlineStr">
        <is>
          <t>廿七</t>
        </is>
      </c>
    </row>
    <row r="561">
      <c r="A561" s="12" t="n">
        <v>46805</v>
      </c>
      <c r="B561" s="0" t="inlineStr">
        <is>
          <t>正月</t>
        </is>
      </c>
      <c r="C561" s="0" t="inlineStr">
        <is>
          <t>廿八</t>
        </is>
      </c>
    </row>
    <row r="562">
      <c r="A562" s="12" t="n">
        <v>46806</v>
      </c>
      <c r="B562" s="0" t="inlineStr">
        <is>
          <t>正月</t>
        </is>
      </c>
      <c r="C562" s="0" t="inlineStr">
        <is>
          <t>廿九</t>
        </is>
      </c>
    </row>
    <row r="563">
      <c r="A563" s="12" t="n">
        <v>46807</v>
      </c>
      <c r="B563" s="0" t="inlineStr">
        <is>
          <t>正月</t>
        </is>
      </c>
      <c r="C563" s="0" t="inlineStr">
        <is>
          <t>三十</t>
        </is>
      </c>
    </row>
    <row r="564">
      <c r="A564" s="12" t="n">
        <v>46808</v>
      </c>
      <c r="B564" s="0" t="inlineStr">
        <is>
          <t>二月</t>
        </is>
      </c>
      <c r="C564" s="0" t="inlineStr">
        <is>
          <t>初一</t>
        </is>
      </c>
    </row>
    <row r="565">
      <c r="A565" s="12" t="n">
        <v>46809</v>
      </c>
      <c r="B565" s="0" t="inlineStr">
        <is>
          <t>二月</t>
        </is>
      </c>
      <c r="C565" s="0" t="inlineStr">
        <is>
          <t>初二</t>
        </is>
      </c>
    </row>
    <row r="566">
      <c r="A566" s="12" t="n">
        <v>46810</v>
      </c>
      <c r="B566" s="0" t="inlineStr">
        <is>
          <t>二月</t>
        </is>
      </c>
      <c r="C566" s="0" t="inlineStr">
        <is>
          <t>初三</t>
        </is>
      </c>
    </row>
    <row r="567">
      <c r="A567" s="12" t="n">
        <v>46811</v>
      </c>
      <c r="B567" s="0" t="inlineStr">
        <is>
          <t>二月</t>
        </is>
      </c>
      <c r="C567" s="0" t="inlineStr">
        <is>
          <t>初四</t>
        </is>
      </c>
    </row>
    <row r="568">
      <c r="A568" s="12" t="n">
        <v>46812</v>
      </c>
      <c r="B568" s="0" t="inlineStr">
        <is>
          <t>二月</t>
        </is>
      </c>
      <c r="C568" s="0" t="inlineStr">
        <is>
          <t>初五</t>
        </is>
      </c>
    </row>
    <row r="569">
      <c r="A569" s="12" t="n">
        <v>46813</v>
      </c>
      <c r="B569" s="0" t="inlineStr">
        <is>
          <t>二月</t>
        </is>
      </c>
      <c r="C569" s="0" t="inlineStr">
        <is>
          <t>初六</t>
        </is>
      </c>
    </row>
    <row r="570">
      <c r="A570" s="12" t="n">
        <v>46814</v>
      </c>
      <c r="B570" s="0" t="inlineStr">
        <is>
          <t>二月</t>
        </is>
      </c>
      <c r="C570" s="0" t="inlineStr">
        <is>
          <t>初七</t>
        </is>
      </c>
    </row>
    <row r="571">
      <c r="A571" s="12" t="n">
        <v>46815</v>
      </c>
      <c r="B571" s="0" t="inlineStr">
        <is>
          <t>二月</t>
        </is>
      </c>
      <c r="C571" s="0" t="inlineStr">
        <is>
          <t>初八</t>
        </is>
      </c>
    </row>
    <row r="572">
      <c r="A572" s="12" t="n">
        <v>46816</v>
      </c>
      <c r="B572" s="0" t="inlineStr">
        <is>
          <t>二月</t>
        </is>
      </c>
      <c r="C572" s="0" t="inlineStr">
        <is>
          <t>初九</t>
        </is>
      </c>
    </row>
    <row r="573">
      <c r="A573" s="12" t="n">
        <v>46817</v>
      </c>
      <c r="B573" s="0" t="inlineStr">
        <is>
          <t>二月</t>
        </is>
      </c>
      <c r="C573" s="0" t="inlineStr">
        <is>
          <t>初十</t>
        </is>
      </c>
    </row>
    <row r="574">
      <c r="A574" s="12" t="n">
        <v>46818</v>
      </c>
      <c r="B574" s="0" t="inlineStr">
        <is>
          <t>二月</t>
        </is>
      </c>
      <c r="C574" s="0" t="inlineStr">
        <is>
          <t>十一</t>
        </is>
      </c>
    </row>
    <row r="575">
      <c r="A575" s="12" t="n">
        <v>46819</v>
      </c>
      <c r="B575" s="0" t="inlineStr">
        <is>
          <t>二月</t>
        </is>
      </c>
      <c r="C575" s="0" t="inlineStr">
        <is>
          <t>十二</t>
        </is>
      </c>
    </row>
    <row r="576">
      <c r="A576" s="12" t="n">
        <v>46820</v>
      </c>
      <c r="B576" s="0" t="inlineStr">
        <is>
          <t>二月</t>
        </is>
      </c>
      <c r="C576" s="0" t="inlineStr">
        <is>
          <t>十三</t>
        </is>
      </c>
    </row>
    <row r="577">
      <c r="A577" s="12" t="n">
        <v>46821</v>
      </c>
      <c r="B577" s="0" t="inlineStr">
        <is>
          <t>二月</t>
        </is>
      </c>
      <c r="C577" s="0" t="inlineStr">
        <is>
          <t>十四</t>
        </is>
      </c>
    </row>
    <row r="578">
      <c r="A578" s="12" t="n">
        <v>46822</v>
      </c>
      <c r="B578" s="0" t="inlineStr">
        <is>
          <t>二月</t>
        </is>
      </c>
      <c r="C578" s="0" t="inlineStr">
        <is>
          <t>十五</t>
        </is>
      </c>
    </row>
    <row r="579">
      <c r="A579" s="12" t="n">
        <v>46823</v>
      </c>
      <c r="B579" s="0" t="inlineStr">
        <is>
          <t>二月</t>
        </is>
      </c>
      <c r="C579" s="0" t="inlineStr">
        <is>
          <t>十六</t>
        </is>
      </c>
    </row>
    <row r="580">
      <c r="A580" s="12" t="n">
        <v>46824</v>
      </c>
      <c r="B580" s="0" t="inlineStr">
        <is>
          <t>二月</t>
        </is>
      </c>
      <c r="C580" s="0" t="inlineStr">
        <is>
          <t>十七</t>
        </is>
      </c>
    </row>
    <row r="581">
      <c r="A581" s="12" t="n">
        <v>46825</v>
      </c>
      <c r="B581" s="0" t="inlineStr">
        <is>
          <t>二月</t>
        </is>
      </c>
      <c r="C581" s="0" t="inlineStr">
        <is>
          <t>十八</t>
        </is>
      </c>
    </row>
    <row r="582">
      <c r="A582" s="12" t="n">
        <v>46826</v>
      </c>
      <c r="B582" s="0" t="inlineStr">
        <is>
          <t>二月</t>
        </is>
      </c>
      <c r="C582" s="0" t="inlineStr">
        <is>
          <t>十九</t>
        </is>
      </c>
    </row>
    <row r="583">
      <c r="A583" s="12" t="n">
        <v>46827</v>
      </c>
      <c r="B583" s="0" t="inlineStr">
        <is>
          <t>二月</t>
        </is>
      </c>
      <c r="C583" s="0" t="inlineStr">
        <is>
          <t>二十</t>
        </is>
      </c>
    </row>
    <row r="584">
      <c r="A584" s="12" t="n">
        <v>46828</v>
      </c>
      <c r="B584" s="0" t="inlineStr">
        <is>
          <t>二月</t>
        </is>
      </c>
      <c r="C584" s="0" t="inlineStr">
        <is>
          <t>廿一</t>
        </is>
      </c>
    </row>
    <row r="585">
      <c r="A585" s="12" t="n">
        <v>46829</v>
      </c>
      <c r="B585" s="0" t="inlineStr">
        <is>
          <t>二月</t>
        </is>
      </c>
      <c r="C585" s="0" t="inlineStr">
        <is>
          <t>廿二</t>
        </is>
      </c>
    </row>
    <row r="586">
      <c r="A586" s="12" t="n">
        <v>46830</v>
      </c>
      <c r="B586" s="0" t="inlineStr">
        <is>
          <t>二月</t>
        </is>
      </c>
      <c r="C586" s="0" t="inlineStr">
        <is>
          <t>廿三</t>
        </is>
      </c>
    </row>
    <row r="587">
      <c r="A587" s="12" t="n">
        <v>46831</v>
      </c>
      <c r="B587" s="0" t="inlineStr">
        <is>
          <t>二月</t>
        </is>
      </c>
      <c r="C587" s="0" t="inlineStr">
        <is>
          <t>廿四</t>
        </is>
      </c>
    </row>
    <row r="588">
      <c r="A588" s="12" t="n">
        <v>46832</v>
      </c>
      <c r="B588" s="0" t="inlineStr">
        <is>
          <t>二月</t>
        </is>
      </c>
      <c r="C588" s="0" t="inlineStr">
        <is>
          <t>廿五</t>
        </is>
      </c>
    </row>
    <row r="589">
      <c r="A589" s="12" t="n">
        <v>46833</v>
      </c>
      <c r="B589" s="0" t="inlineStr">
        <is>
          <t>二月</t>
        </is>
      </c>
      <c r="C589" s="0" t="inlineStr">
        <is>
          <t>廿六</t>
        </is>
      </c>
    </row>
    <row r="590">
      <c r="A590" s="12" t="n">
        <v>46834</v>
      </c>
      <c r="B590" s="0" t="inlineStr">
        <is>
          <t>二月</t>
        </is>
      </c>
      <c r="C590" s="0" t="inlineStr">
        <is>
          <t>廿七</t>
        </is>
      </c>
    </row>
    <row r="591">
      <c r="A591" s="12" t="n">
        <v>46835</v>
      </c>
      <c r="B591" s="0" t="inlineStr">
        <is>
          <t>二月</t>
        </is>
      </c>
      <c r="C591" s="0" t="inlineStr">
        <is>
          <t>廿八</t>
        </is>
      </c>
    </row>
    <row r="592">
      <c r="A592" s="12" t="n">
        <v>46836</v>
      </c>
      <c r="B592" s="0" t="inlineStr">
        <is>
          <t>二月</t>
        </is>
      </c>
      <c r="C592" s="0" t="inlineStr">
        <is>
          <t>廿九</t>
        </is>
      </c>
    </row>
    <row r="593">
      <c r="A593" s="12" t="n">
        <v>46837</v>
      </c>
      <c r="B593" s="0" t="inlineStr">
        <is>
          <t>二月</t>
        </is>
      </c>
      <c r="C593" s="0" t="inlineStr">
        <is>
          <t>三十</t>
        </is>
      </c>
    </row>
    <row r="594">
      <c r="A594" s="12" t="n">
        <v>46838</v>
      </c>
      <c r="B594" s="0" t="inlineStr">
        <is>
          <t>三月</t>
        </is>
      </c>
      <c r="C594" s="0" t="inlineStr">
        <is>
          <t>初一</t>
        </is>
      </c>
    </row>
    <row r="595">
      <c r="A595" s="12" t="n">
        <v>46839</v>
      </c>
      <c r="B595" s="0" t="inlineStr">
        <is>
          <t>三月</t>
        </is>
      </c>
      <c r="C595" s="0" t="inlineStr">
        <is>
          <t>初二</t>
        </is>
      </c>
    </row>
    <row r="596">
      <c r="A596" s="12" t="n">
        <v>46840</v>
      </c>
      <c r="B596" s="0" t="inlineStr">
        <is>
          <t>三月</t>
        </is>
      </c>
      <c r="C596" s="0" t="inlineStr">
        <is>
          <t>初三</t>
        </is>
      </c>
    </row>
    <row r="597">
      <c r="A597" s="12" t="n">
        <v>46841</v>
      </c>
      <c r="B597" s="0" t="inlineStr">
        <is>
          <t>三月</t>
        </is>
      </c>
      <c r="C597" s="0" t="inlineStr">
        <is>
          <t>初四</t>
        </is>
      </c>
    </row>
    <row r="598">
      <c r="A598" s="12" t="n">
        <v>46842</v>
      </c>
      <c r="B598" s="0" t="inlineStr">
        <is>
          <t>三月</t>
        </is>
      </c>
      <c r="C598" s="0" t="inlineStr">
        <is>
          <t>初五</t>
        </is>
      </c>
    </row>
    <row r="599">
      <c r="A599" s="12" t="n">
        <v>46843</v>
      </c>
      <c r="B599" s="0" t="inlineStr">
        <is>
          <t>三月</t>
        </is>
      </c>
      <c r="C599" s="0" t="inlineStr">
        <is>
          <t>初六</t>
        </is>
      </c>
    </row>
    <row r="600">
      <c r="A600" s="12" t="n">
        <v>46844</v>
      </c>
      <c r="B600" s="0" t="inlineStr">
        <is>
          <t>三月</t>
        </is>
      </c>
      <c r="C600" s="0" t="inlineStr">
        <is>
          <t>初七</t>
        </is>
      </c>
    </row>
    <row r="601">
      <c r="A601" s="12" t="n">
        <v>46845</v>
      </c>
      <c r="B601" s="0" t="inlineStr">
        <is>
          <t>三月</t>
        </is>
      </c>
      <c r="C601" s="0" t="inlineStr">
        <is>
          <t>初八</t>
        </is>
      </c>
    </row>
    <row r="602">
      <c r="A602" s="12" t="n">
        <v>46846</v>
      </c>
      <c r="B602" s="0" t="inlineStr">
        <is>
          <t>三月</t>
        </is>
      </c>
      <c r="C602" s="0" t="inlineStr">
        <is>
          <t>初九</t>
        </is>
      </c>
    </row>
    <row r="603">
      <c r="A603" s="12" t="n">
        <v>46847</v>
      </c>
      <c r="B603" s="0" t="inlineStr">
        <is>
          <t>三月</t>
        </is>
      </c>
      <c r="C603" s="0" t="inlineStr">
        <is>
          <t>初十</t>
        </is>
      </c>
    </row>
    <row r="604">
      <c r="A604" s="12" t="n">
        <v>46848</v>
      </c>
      <c r="B604" s="0" t="inlineStr">
        <is>
          <t>三月</t>
        </is>
      </c>
      <c r="C604" s="0" t="inlineStr">
        <is>
          <t>十一</t>
        </is>
      </c>
    </row>
    <row r="605">
      <c r="A605" s="12" t="n">
        <v>46849</v>
      </c>
      <c r="B605" s="0" t="inlineStr">
        <is>
          <t>三月</t>
        </is>
      </c>
      <c r="C605" s="0" t="inlineStr">
        <is>
          <t>十二</t>
        </is>
      </c>
    </row>
    <row r="606">
      <c r="A606" s="12" t="n">
        <v>46850</v>
      </c>
      <c r="B606" s="0" t="inlineStr">
        <is>
          <t>三月</t>
        </is>
      </c>
      <c r="C606" s="0" t="inlineStr">
        <is>
          <t>十三</t>
        </is>
      </c>
    </row>
    <row r="607">
      <c r="A607" s="12" t="n">
        <v>46851</v>
      </c>
      <c r="B607" s="0" t="inlineStr">
        <is>
          <t>三月</t>
        </is>
      </c>
      <c r="C607" s="0" t="inlineStr">
        <is>
          <t>十四</t>
        </is>
      </c>
    </row>
    <row r="608">
      <c r="A608" s="12" t="n">
        <v>46852</v>
      </c>
      <c r="B608" s="0" t="inlineStr">
        <is>
          <t>三月</t>
        </is>
      </c>
      <c r="C608" s="0" t="inlineStr">
        <is>
          <t>十五</t>
        </is>
      </c>
    </row>
    <row r="609">
      <c r="A609" s="12" t="n">
        <v>46853</v>
      </c>
      <c r="B609" s="0" t="inlineStr">
        <is>
          <t>三月</t>
        </is>
      </c>
      <c r="C609" s="0" t="inlineStr">
        <is>
          <t>十六</t>
        </is>
      </c>
    </row>
    <row r="610">
      <c r="A610" s="12" t="n">
        <v>46854</v>
      </c>
      <c r="B610" s="0" t="inlineStr">
        <is>
          <t>三月</t>
        </is>
      </c>
      <c r="C610" s="0" t="inlineStr">
        <is>
          <t>十七</t>
        </is>
      </c>
    </row>
    <row r="611">
      <c r="A611" s="12" t="n">
        <v>46855</v>
      </c>
      <c r="B611" s="0" t="inlineStr">
        <is>
          <t>三月</t>
        </is>
      </c>
      <c r="C611" s="0" t="inlineStr">
        <is>
          <t>十八</t>
        </is>
      </c>
    </row>
    <row r="612">
      <c r="A612" s="12" t="n">
        <v>46856</v>
      </c>
      <c r="B612" s="0" t="inlineStr">
        <is>
          <t>三月</t>
        </is>
      </c>
      <c r="C612" s="0" t="inlineStr">
        <is>
          <t>十九</t>
        </is>
      </c>
    </row>
    <row r="613">
      <c r="A613" s="12" t="n">
        <v>46857</v>
      </c>
      <c r="B613" s="0" t="inlineStr">
        <is>
          <t>三月</t>
        </is>
      </c>
      <c r="C613" s="0" t="inlineStr">
        <is>
          <t>二十</t>
        </is>
      </c>
    </row>
    <row r="614">
      <c r="A614" s="12" t="n">
        <v>46858</v>
      </c>
      <c r="B614" s="0" t="inlineStr">
        <is>
          <t>三月</t>
        </is>
      </c>
      <c r="C614" s="0" t="inlineStr">
        <is>
          <t>廿一</t>
        </is>
      </c>
    </row>
    <row r="615">
      <c r="A615" s="12" t="n">
        <v>46859</v>
      </c>
      <c r="B615" s="0" t="inlineStr">
        <is>
          <t>三月</t>
        </is>
      </c>
      <c r="C615" s="0" t="inlineStr">
        <is>
          <t>廿二</t>
        </is>
      </c>
    </row>
    <row r="616">
      <c r="A616" s="12" t="n">
        <v>46860</v>
      </c>
      <c r="B616" s="0" t="inlineStr">
        <is>
          <t>三月</t>
        </is>
      </c>
      <c r="C616" s="0" t="inlineStr">
        <is>
          <t>廿三</t>
        </is>
      </c>
    </row>
    <row r="617">
      <c r="A617" s="12" t="n">
        <v>46861</v>
      </c>
      <c r="B617" s="0" t="inlineStr">
        <is>
          <t>三月</t>
        </is>
      </c>
      <c r="C617" s="0" t="inlineStr">
        <is>
          <t>廿四</t>
        </is>
      </c>
    </row>
    <row r="618">
      <c r="A618" s="12" t="n">
        <v>46862</v>
      </c>
      <c r="B618" s="0" t="inlineStr">
        <is>
          <t>三月</t>
        </is>
      </c>
      <c r="C618" s="0" t="inlineStr">
        <is>
          <t>廿五</t>
        </is>
      </c>
    </row>
    <row r="619">
      <c r="A619" s="12" t="n">
        <v>46863</v>
      </c>
      <c r="B619" s="0" t="inlineStr">
        <is>
          <t>三月</t>
        </is>
      </c>
      <c r="C619" s="0" t="inlineStr">
        <is>
          <t>廿六</t>
        </is>
      </c>
    </row>
    <row r="620">
      <c r="A620" s="12" t="n">
        <v>46864</v>
      </c>
      <c r="B620" s="0" t="inlineStr">
        <is>
          <t>三月</t>
        </is>
      </c>
      <c r="C620" s="0" t="inlineStr">
        <is>
          <t>廿七</t>
        </is>
      </c>
    </row>
    <row r="621">
      <c r="A621" s="12" t="n">
        <v>46865</v>
      </c>
      <c r="B621" s="0" t="inlineStr">
        <is>
          <t>三月</t>
        </is>
      </c>
      <c r="C621" s="0" t="inlineStr">
        <is>
          <t>廿八</t>
        </is>
      </c>
    </row>
    <row r="622">
      <c r="A622" s="12" t="n">
        <v>46866</v>
      </c>
      <c r="B622" s="0" t="inlineStr">
        <is>
          <t>三月</t>
        </is>
      </c>
      <c r="C622" s="0" t="inlineStr">
        <is>
          <t>廿九</t>
        </is>
      </c>
    </row>
    <row r="623">
      <c r="A623" s="12" t="n">
        <v>46867</v>
      </c>
      <c r="B623" s="0" t="inlineStr">
        <is>
          <t>三月</t>
        </is>
      </c>
      <c r="C623" s="0" t="inlineStr">
        <is>
          <t>三十</t>
        </is>
      </c>
    </row>
    <row r="624">
      <c r="A624" s="12" t="n">
        <v>46868</v>
      </c>
      <c r="B624" s="0" t="inlineStr">
        <is>
          <t>四月</t>
        </is>
      </c>
      <c r="C624" s="0" t="inlineStr">
        <is>
          <t>初一</t>
        </is>
      </c>
    </row>
    <row r="625">
      <c r="A625" s="12" t="n">
        <v>46869</v>
      </c>
      <c r="B625" s="0" t="inlineStr">
        <is>
          <t>四月</t>
        </is>
      </c>
      <c r="C625" s="0" t="inlineStr">
        <is>
          <t>初二</t>
        </is>
      </c>
    </row>
    <row r="626">
      <c r="A626" s="12" t="n">
        <v>46870</v>
      </c>
      <c r="B626" s="0" t="inlineStr">
        <is>
          <t>四月</t>
        </is>
      </c>
      <c r="C626" s="0" t="inlineStr">
        <is>
          <t>初三</t>
        </is>
      </c>
    </row>
    <row r="627">
      <c r="A627" s="12" t="n">
        <v>46871</v>
      </c>
      <c r="B627" s="0" t="inlineStr">
        <is>
          <t>四月</t>
        </is>
      </c>
      <c r="C627" s="0" t="inlineStr">
        <is>
          <t>初四</t>
        </is>
      </c>
    </row>
    <row r="628">
      <c r="A628" s="12" t="n">
        <v>46872</v>
      </c>
      <c r="B628" s="0" t="inlineStr">
        <is>
          <t>四月</t>
        </is>
      </c>
      <c r="C628" s="0" t="inlineStr">
        <is>
          <t>初五</t>
        </is>
      </c>
    </row>
    <row r="629">
      <c r="A629" s="12" t="n">
        <v>46873</v>
      </c>
      <c r="B629" s="0" t="inlineStr">
        <is>
          <t>四月</t>
        </is>
      </c>
      <c r="C629" s="0" t="inlineStr">
        <is>
          <t>初六</t>
        </is>
      </c>
    </row>
    <row r="630">
      <c r="A630" s="12" t="n">
        <v>46874</v>
      </c>
      <c r="B630" s="0" t="inlineStr">
        <is>
          <t>四月</t>
        </is>
      </c>
      <c r="C630" s="0" t="inlineStr">
        <is>
          <t>初七</t>
        </is>
      </c>
    </row>
    <row r="631">
      <c r="A631" s="12" t="n">
        <v>46875</v>
      </c>
      <c r="B631" s="0" t="inlineStr">
        <is>
          <t>四月</t>
        </is>
      </c>
      <c r="C631" s="0" t="inlineStr">
        <is>
          <t>初八</t>
        </is>
      </c>
    </row>
    <row r="632">
      <c r="A632" s="12" t="n">
        <v>46876</v>
      </c>
      <c r="B632" s="0" t="inlineStr">
        <is>
          <t>四月</t>
        </is>
      </c>
      <c r="C632" s="0" t="inlineStr">
        <is>
          <t>初九</t>
        </is>
      </c>
    </row>
    <row r="633">
      <c r="A633" s="12" t="n">
        <v>46877</v>
      </c>
      <c r="B633" s="0" t="inlineStr">
        <is>
          <t>四月</t>
        </is>
      </c>
      <c r="C633" s="0" t="inlineStr">
        <is>
          <t>初十</t>
        </is>
      </c>
    </row>
    <row r="634">
      <c r="A634" s="12" t="n">
        <v>46878</v>
      </c>
      <c r="B634" s="0" t="inlineStr">
        <is>
          <t>四月</t>
        </is>
      </c>
      <c r="C634" s="0" t="inlineStr">
        <is>
          <t>十一</t>
        </is>
      </c>
    </row>
    <row r="635">
      <c r="A635" s="12" t="n">
        <v>46879</v>
      </c>
      <c r="B635" s="0" t="inlineStr">
        <is>
          <t>四月</t>
        </is>
      </c>
      <c r="C635" s="0" t="inlineStr">
        <is>
          <t>十二</t>
        </is>
      </c>
    </row>
    <row r="636">
      <c r="A636" s="12" t="n">
        <v>46880</v>
      </c>
      <c r="B636" s="0" t="inlineStr">
        <is>
          <t>四月</t>
        </is>
      </c>
      <c r="C636" s="0" t="inlineStr">
        <is>
          <t>十三</t>
        </is>
      </c>
    </row>
    <row r="637">
      <c r="A637" s="12" t="n">
        <v>46881</v>
      </c>
      <c r="B637" s="0" t="inlineStr">
        <is>
          <t>四月</t>
        </is>
      </c>
      <c r="C637" s="0" t="inlineStr">
        <is>
          <t>十四</t>
        </is>
      </c>
    </row>
    <row r="638">
      <c r="A638" s="12" t="n">
        <v>46882</v>
      </c>
      <c r="B638" s="0" t="inlineStr">
        <is>
          <t>四月</t>
        </is>
      </c>
      <c r="C638" s="0" t="inlineStr">
        <is>
          <t>十五</t>
        </is>
      </c>
    </row>
    <row r="639">
      <c r="A639" s="12" t="n">
        <v>46883</v>
      </c>
      <c r="B639" s="0" t="inlineStr">
        <is>
          <t>四月</t>
        </is>
      </c>
      <c r="C639" s="0" t="inlineStr">
        <is>
          <t>十六</t>
        </is>
      </c>
    </row>
    <row r="640">
      <c r="A640" s="12" t="n">
        <v>46884</v>
      </c>
      <c r="B640" s="0" t="inlineStr">
        <is>
          <t>四月</t>
        </is>
      </c>
      <c r="C640" s="0" t="inlineStr">
        <is>
          <t>十七</t>
        </is>
      </c>
    </row>
    <row r="641">
      <c r="A641" s="12" t="n">
        <v>46885</v>
      </c>
      <c r="B641" s="0" t="inlineStr">
        <is>
          <t>四月</t>
        </is>
      </c>
      <c r="C641" s="0" t="inlineStr">
        <is>
          <t>十八</t>
        </is>
      </c>
    </row>
    <row r="642">
      <c r="A642" s="12" t="n">
        <v>46886</v>
      </c>
      <c r="B642" s="0" t="inlineStr">
        <is>
          <t>四月</t>
        </is>
      </c>
      <c r="C642" s="0" t="inlineStr">
        <is>
          <t>十九</t>
        </is>
      </c>
    </row>
    <row r="643">
      <c r="A643" s="12" t="n">
        <v>46887</v>
      </c>
      <c r="B643" s="0" t="inlineStr">
        <is>
          <t>四月</t>
        </is>
      </c>
      <c r="C643" s="0" t="inlineStr">
        <is>
          <t>二十</t>
        </is>
      </c>
    </row>
    <row r="644">
      <c r="A644" s="12" t="n">
        <v>46888</v>
      </c>
      <c r="B644" s="0" t="inlineStr">
        <is>
          <t>四月</t>
        </is>
      </c>
      <c r="C644" s="0" t="inlineStr">
        <is>
          <t>廿一</t>
        </is>
      </c>
    </row>
    <row r="645">
      <c r="A645" s="12" t="n">
        <v>46889</v>
      </c>
      <c r="B645" s="0" t="inlineStr">
        <is>
          <t>四月</t>
        </is>
      </c>
      <c r="C645" s="0" t="inlineStr">
        <is>
          <t>廿二</t>
        </is>
      </c>
    </row>
    <row r="646">
      <c r="A646" s="12" t="n">
        <v>46890</v>
      </c>
      <c r="B646" s="0" t="inlineStr">
        <is>
          <t>四月</t>
        </is>
      </c>
      <c r="C646" s="0" t="inlineStr">
        <is>
          <t>廿三</t>
        </is>
      </c>
    </row>
    <row r="647">
      <c r="A647" s="12" t="n">
        <v>46891</v>
      </c>
      <c r="B647" s="0" t="inlineStr">
        <is>
          <t>四月</t>
        </is>
      </c>
      <c r="C647" s="0" t="inlineStr">
        <is>
          <t>廿四</t>
        </is>
      </c>
    </row>
    <row r="648">
      <c r="A648" s="12" t="n">
        <v>46892</v>
      </c>
      <c r="B648" s="0" t="inlineStr">
        <is>
          <t>四月</t>
        </is>
      </c>
      <c r="C648" s="0" t="inlineStr">
        <is>
          <t>廿五</t>
        </is>
      </c>
    </row>
    <row r="649">
      <c r="A649" s="12" t="n">
        <v>46893</v>
      </c>
      <c r="B649" s="0" t="inlineStr">
        <is>
          <t>四月</t>
        </is>
      </c>
      <c r="C649" s="0" t="inlineStr">
        <is>
          <t>廿六</t>
        </is>
      </c>
    </row>
    <row r="650">
      <c r="A650" s="12" t="n">
        <v>46894</v>
      </c>
      <c r="B650" s="0" t="inlineStr">
        <is>
          <t>四月</t>
        </is>
      </c>
      <c r="C650" s="0" t="inlineStr">
        <is>
          <t>廿七</t>
        </is>
      </c>
    </row>
    <row r="651">
      <c r="A651" s="12" t="n">
        <v>46895</v>
      </c>
      <c r="B651" s="0" t="inlineStr">
        <is>
          <t>四月</t>
        </is>
      </c>
      <c r="C651" s="0" t="inlineStr">
        <is>
          <t>廿八</t>
        </is>
      </c>
    </row>
    <row r="652">
      <c r="A652" s="12" t="n">
        <v>46896</v>
      </c>
      <c r="B652" s="0" t="inlineStr">
        <is>
          <t>四月</t>
        </is>
      </c>
      <c r="C652" s="0" t="inlineStr">
        <is>
          <t>廿九</t>
        </is>
      </c>
    </row>
    <row r="653">
      <c r="A653" s="12" t="n">
        <v>46897</v>
      </c>
      <c r="B653" s="0" t="inlineStr">
        <is>
          <t>五月</t>
        </is>
      </c>
      <c r="C653" s="0" t="inlineStr">
        <is>
          <t>初一</t>
        </is>
      </c>
    </row>
    <row r="654">
      <c r="A654" s="12" t="n">
        <v>46898</v>
      </c>
      <c r="B654" s="0" t="inlineStr">
        <is>
          <t>五月</t>
        </is>
      </c>
      <c r="C654" s="0" t="inlineStr">
        <is>
          <t>初二</t>
        </is>
      </c>
    </row>
    <row r="655">
      <c r="A655" s="12" t="n">
        <v>46899</v>
      </c>
      <c r="B655" s="0" t="inlineStr">
        <is>
          <t>五月</t>
        </is>
      </c>
      <c r="C655" s="0" t="inlineStr">
        <is>
          <t>初三</t>
        </is>
      </c>
    </row>
    <row r="656">
      <c r="A656" s="12" t="n">
        <v>46900</v>
      </c>
      <c r="B656" s="0" t="inlineStr">
        <is>
          <t>五月</t>
        </is>
      </c>
      <c r="C656" s="0" t="inlineStr">
        <is>
          <t>初四</t>
        </is>
      </c>
    </row>
    <row r="657">
      <c r="A657" s="12" t="n">
        <v>46901</v>
      </c>
      <c r="B657" s="0" t="inlineStr">
        <is>
          <t>五月</t>
        </is>
      </c>
      <c r="C657" s="0" t="inlineStr">
        <is>
          <t>初五</t>
        </is>
      </c>
    </row>
    <row r="658">
      <c r="A658" s="12" t="n">
        <v>46902</v>
      </c>
      <c r="B658" s="0" t="inlineStr">
        <is>
          <t>五月</t>
        </is>
      </c>
      <c r="C658" s="0" t="inlineStr">
        <is>
          <t>初六</t>
        </is>
      </c>
    </row>
    <row r="659">
      <c r="A659" s="12" t="n">
        <v>46903</v>
      </c>
      <c r="B659" s="0" t="inlineStr">
        <is>
          <t>五月</t>
        </is>
      </c>
      <c r="C659" s="0" t="inlineStr">
        <is>
          <t>初七</t>
        </is>
      </c>
    </row>
    <row r="660">
      <c r="A660" s="12" t="n">
        <v>46904</v>
      </c>
      <c r="B660" s="0" t="inlineStr">
        <is>
          <t>五月</t>
        </is>
      </c>
      <c r="C660" s="0" t="inlineStr">
        <is>
          <t>初八</t>
        </is>
      </c>
    </row>
    <row r="661">
      <c r="A661" s="12" t="n">
        <v>46905</v>
      </c>
      <c r="B661" s="0" t="inlineStr">
        <is>
          <t>五月</t>
        </is>
      </c>
      <c r="C661" s="0" t="inlineStr">
        <is>
          <t>初九</t>
        </is>
      </c>
    </row>
    <row r="662">
      <c r="A662" s="12" t="n">
        <v>46906</v>
      </c>
      <c r="B662" s="0" t="inlineStr">
        <is>
          <t>五月</t>
        </is>
      </c>
      <c r="C662" s="0" t="inlineStr">
        <is>
          <t>初十</t>
        </is>
      </c>
    </row>
    <row r="663">
      <c r="A663" s="12" t="n">
        <v>46907</v>
      </c>
      <c r="B663" s="0" t="inlineStr">
        <is>
          <t>五月</t>
        </is>
      </c>
      <c r="C663" s="0" t="inlineStr">
        <is>
          <t>十一</t>
        </is>
      </c>
    </row>
    <row r="664">
      <c r="A664" s="12" t="n">
        <v>46908</v>
      </c>
      <c r="B664" s="0" t="inlineStr">
        <is>
          <t>五月</t>
        </is>
      </c>
      <c r="C664" s="0" t="inlineStr">
        <is>
          <t>十二</t>
        </is>
      </c>
    </row>
    <row r="665">
      <c r="A665" s="12" t="n">
        <v>46909</v>
      </c>
      <c r="B665" s="0" t="inlineStr">
        <is>
          <t>五月</t>
        </is>
      </c>
      <c r="C665" s="0" t="inlineStr">
        <is>
          <t>十三</t>
        </is>
      </c>
    </row>
    <row r="666">
      <c r="A666" s="12" t="n">
        <v>46910</v>
      </c>
      <c r="B666" s="0" t="inlineStr">
        <is>
          <t>五月</t>
        </is>
      </c>
      <c r="C666" s="0" t="inlineStr">
        <is>
          <t>十四</t>
        </is>
      </c>
    </row>
    <row r="667">
      <c r="A667" s="12" t="n">
        <v>46911</v>
      </c>
      <c r="B667" s="0" t="inlineStr">
        <is>
          <t>五月</t>
        </is>
      </c>
      <c r="C667" s="0" t="inlineStr">
        <is>
          <t>十五</t>
        </is>
      </c>
    </row>
    <row r="668">
      <c r="A668" s="12" t="n">
        <v>46912</v>
      </c>
      <c r="B668" s="0" t="inlineStr">
        <is>
          <t>五月</t>
        </is>
      </c>
      <c r="C668" s="0" t="inlineStr">
        <is>
          <t>十六</t>
        </is>
      </c>
    </row>
    <row r="669">
      <c r="A669" s="12" t="n">
        <v>46913</v>
      </c>
      <c r="B669" s="0" t="inlineStr">
        <is>
          <t>五月</t>
        </is>
      </c>
      <c r="C669" s="0" t="inlineStr">
        <is>
          <t>十七</t>
        </is>
      </c>
    </row>
    <row r="670">
      <c r="A670" s="12" t="n">
        <v>46914</v>
      </c>
      <c r="B670" s="0" t="inlineStr">
        <is>
          <t>五月</t>
        </is>
      </c>
      <c r="C670" s="0" t="inlineStr">
        <is>
          <t>十八</t>
        </is>
      </c>
    </row>
    <row r="671">
      <c r="A671" s="12" t="n">
        <v>46915</v>
      </c>
      <c r="B671" s="0" t="inlineStr">
        <is>
          <t>五月</t>
        </is>
      </c>
      <c r="C671" s="0" t="inlineStr">
        <is>
          <t>十九</t>
        </is>
      </c>
    </row>
    <row r="672">
      <c r="A672" s="12" t="n">
        <v>46916</v>
      </c>
      <c r="B672" s="0" t="inlineStr">
        <is>
          <t>五月</t>
        </is>
      </c>
      <c r="C672" s="0" t="inlineStr">
        <is>
          <t>二十</t>
        </is>
      </c>
    </row>
    <row r="673">
      <c r="A673" s="12" t="n">
        <v>46917</v>
      </c>
      <c r="B673" s="0" t="inlineStr">
        <is>
          <t>五月</t>
        </is>
      </c>
      <c r="C673" s="0" t="inlineStr">
        <is>
          <t>廿一</t>
        </is>
      </c>
    </row>
    <row r="674">
      <c r="A674" s="12" t="n">
        <v>46918</v>
      </c>
      <c r="B674" s="0" t="inlineStr">
        <is>
          <t>五月</t>
        </is>
      </c>
      <c r="C674" s="0" t="inlineStr">
        <is>
          <t>廿二</t>
        </is>
      </c>
    </row>
    <row r="675">
      <c r="A675" s="12" t="n">
        <v>46919</v>
      </c>
      <c r="B675" s="0" t="inlineStr">
        <is>
          <t>五月</t>
        </is>
      </c>
      <c r="C675" s="0" t="inlineStr">
        <is>
          <t>廿三</t>
        </is>
      </c>
    </row>
    <row r="676">
      <c r="A676" s="12" t="n">
        <v>46920</v>
      </c>
      <c r="B676" s="0" t="inlineStr">
        <is>
          <t>五月</t>
        </is>
      </c>
      <c r="C676" s="0" t="inlineStr">
        <is>
          <t>廿四</t>
        </is>
      </c>
    </row>
    <row r="677">
      <c r="A677" s="12" t="n">
        <v>46921</v>
      </c>
      <c r="B677" s="0" t="inlineStr">
        <is>
          <t>五月</t>
        </is>
      </c>
      <c r="C677" s="0" t="inlineStr">
        <is>
          <t>廿五</t>
        </is>
      </c>
    </row>
    <row r="678">
      <c r="A678" s="12" t="n">
        <v>46922</v>
      </c>
      <c r="B678" s="0" t="inlineStr">
        <is>
          <t>五月</t>
        </is>
      </c>
      <c r="C678" s="0" t="inlineStr">
        <is>
          <t>廿六</t>
        </is>
      </c>
    </row>
    <row r="679">
      <c r="A679" s="12" t="n">
        <v>46923</v>
      </c>
      <c r="B679" s="0" t="inlineStr">
        <is>
          <t>五月</t>
        </is>
      </c>
      <c r="C679" s="0" t="inlineStr">
        <is>
          <t>廿七</t>
        </is>
      </c>
    </row>
    <row r="680">
      <c r="A680" s="12" t="n">
        <v>46924</v>
      </c>
      <c r="B680" s="0" t="inlineStr">
        <is>
          <t>五月</t>
        </is>
      </c>
      <c r="C680" s="0" t="inlineStr">
        <is>
          <t>廿八</t>
        </is>
      </c>
    </row>
    <row r="681">
      <c r="A681" s="12" t="n">
        <v>46925</v>
      </c>
      <c r="B681" s="0" t="inlineStr">
        <is>
          <t>五月</t>
        </is>
      </c>
      <c r="C681" s="0" t="inlineStr">
        <is>
          <t>廿九</t>
        </is>
      </c>
    </row>
    <row r="682">
      <c r="A682" s="12" t="n">
        <v>46926</v>
      </c>
      <c r="B682" s="0" t="inlineStr">
        <is>
          <t>五月</t>
        </is>
      </c>
      <c r="C682" s="0" t="inlineStr">
        <is>
          <t>三十</t>
        </is>
      </c>
    </row>
    <row r="683">
      <c r="A683" s="12" t="n">
        <v>46927</v>
      </c>
      <c r="B683" s="0" t="inlineStr">
        <is>
          <t>閏五月</t>
        </is>
      </c>
      <c r="C683" s="0" t="inlineStr">
        <is>
          <t>初一</t>
        </is>
      </c>
    </row>
    <row r="684">
      <c r="A684" s="12" t="n">
        <v>46928</v>
      </c>
      <c r="B684" s="0" t="inlineStr">
        <is>
          <t>閏五月</t>
        </is>
      </c>
      <c r="C684" s="0" t="inlineStr">
        <is>
          <t>初二</t>
        </is>
      </c>
    </row>
    <row r="685">
      <c r="A685" s="12" t="n">
        <v>46929</v>
      </c>
      <c r="B685" s="0" t="inlineStr">
        <is>
          <t>閏五月</t>
        </is>
      </c>
      <c r="C685" s="0" t="inlineStr">
        <is>
          <t>初三</t>
        </is>
      </c>
    </row>
    <row r="686">
      <c r="A686" s="12" t="n">
        <v>46930</v>
      </c>
      <c r="B686" s="0" t="inlineStr">
        <is>
          <t>閏五月</t>
        </is>
      </c>
      <c r="C686" s="0" t="inlineStr">
        <is>
          <t>初四</t>
        </is>
      </c>
    </row>
    <row r="687">
      <c r="A687" s="12" t="n">
        <v>46931</v>
      </c>
      <c r="B687" s="0" t="inlineStr">
        <is>
          <t>閏五月</t>
        </is>
      </c>
      <c r="C687" s="0" t="inlineStr">
        <is>
          <t>初五</t>
        </is>
      </c>
    </row>
    <row r="688">
      <c r="A688" s="12" t="n">
        <v>46932</v>
      </c>
      <c r="B688" s="0" t="inlineStr">
        <is>
          <t>閏五月</t>
        </is>
      </c>
      <c r="C688" s="0" t="inlineStr">
        <is>
          <t>初六</t>
        </is>
      </c>
    </row>
    <row r="689">
      <c r="A689" s="12" t="n">
        <v>46933</v>
      </c>
      <c r="B689" s="0" t="inlineStr">
        <is>
          <t>閏五月</t>
        </is>
      </c>
      <c r="C689" s="0" t="inlineStr">
        <is>
          <t>初七</t>
        </is>
      </c>
    </row>
    <row r="690">
      <c r="A690" s="12" t="n">
        <v>46934</v>
      </c>
      <c r="B690" s="0" t="inlineStr">
        <is>
          <t>閏五月</t>
        </is>
      </c>
      <c r="C690" s="0" t="inlineStr">
        <is>
          <t>初八</t>
        </is>
      </c>
    </row>
    <row r="691">
      <c r="A691" s="12" t="n">
        <v>46935</v>
      </c>
      <c r="B691" s="0" t="inlineStr">
        <is>
          <t>閏五月</t>
        </is>
      </c>
      <c r="C691" s="0" t="inlineStr">
        <is>
          <t>初九</t>
        </is>
      </c>
    </row>
    <row r="692">
      <c r="A692" s="12" t="n">
        <v>46936</v>
      </c>
      <c r="B692" s="0" t="inlineStr">
        <is>
          <t>閏五月</t>
        </is>
      </c>
      <c r="C692" s="0" t="inlineStr">
        <is>
          <t>初十</t>
        </is>
      </c>
    </row>
    <row r="693">
      <c r="A693" s="12" t="n">
        <v>46937</v>
      </c>
      <c r="B693" s="0" t="inlineStr">
        <is>
          <t>閏五月</t>
        </is>
      </c>
      <c r="C693" s="0" t="inlineStr">
        <is>
          <t>十一</t>
        </is>
      </c>
    </row>
    <row r="694">
      <c r="A694" s="12" t="n">
        <v>46938</v>
      </c>
      <c r="B694" s="0" t="inlineStr">
        <is>
          <t>閏五月</t>
        </is>
      </c>
      <c r="C694" s="0" t="inlineStr">
        <is>
          <t>十二</t>
        </is>
      </c>
    </row>
    <row r="695">
      <c r="A695" s="12" t="n">
        <v>46939</v>
      </c>
      <c r="B695" s="0" t="inlineStr">
        <is>
          <t>閏五月</t>
        </is>
      </c>
      <c r="C695" s="0" t="inlineStr">
        <is>
          <t>十三</t>
        </is>
      </c>
    </row>
    <row r="696">
      <c r="A696" s="12" t="n">
        <v>46940</v>
      </c>
      <c r="B696" s="0" t="inlineStr">
        <is>
          <t>閏五月</t>
        </is>
      </c>
      <c r="C696" s="0" t="inlineStr">
        <is>
          <t>十四</t>
        </is>
      </c>
    </row>
    <row r="697">
      <c r="A697" s="12" t="n">
        <v>46941</v>
      </c>
      <c r="B697" s="0" t="inlineStr">
        <is>
          <t>閏五月</t>
        </is>
      </c>
      <c r="C697" s="0" t="inlineStr">
        <is>
          <t>十五</t>
        </is>
      </c>
    </row>
    <row r="698">
      <c r="A698" s="12" t="n">
        <v>46942</v>
      </c>
      <c r="B698" s="0" t="inlineStr">
        <is>
          <t>閏五月</t>
        </is>
      </c>
      <c r="C698" s="0" t="inlineStr">
        <is>
          <t>十六</t>
        </is>
      </c>
    </row>
    <row r="699">
      <c r="A699" s="12" t="n">
        <v>46943</v>
      </c>
      <c r="B699" s="0" t="inlineStr">
        <is>
          <t>閏五月</t>
        </is>
      </c>
      <c r="C699" s="0" t="inlineStr">
        <is>
          <t>十七</t>
        </is>
      </c>
    </row>
    <row r="700">
      <c r="A700" s="12" t="n">
        <v>46944</v>
      </c>
      <c r="B700" s="0" t="inlineStr">
        <is>
          <t>閏五月</t>
        </is>
      </c>
      <c r="C700" s="0" t="inlineStr">
        <is>
          <t>十八</t>
        </is>
      </c>
    </row>
    <row r="701">
      <c r="A701" s="12" t="n">
        <v>46945</v>
      </c>
      <c r="B701" s="0" t="inlineStr">
        <is>
          <t>閏五月</t>
        </is>
      </c>
      <c r="C701" s="0" t="inlineStr">
        <is>
          <t>十九</t>
        </is>
      </c>
    </row>
    <row r="702">
      <c r="A702" s="12" t="n">
        <v>46946</v>
      </c>
      <c r="B702" s="0" t="inlineStr">
        <is>
          <t>閏五月</t>
        </is>
      </c>
      <c r="C702" s="0" t="inlineStr">
        <is>
          <t>二十</t>
        </is>
      </c>
    </row>
    <row r="703">
      <c r="A703" s="12" t="n">
        <v>46947</v>
      </c>
      <c r="B703" s="0" t="inlineStr">
        <is>
          <t>閏五月</t>
        </is>
      </c>
      <c r="C703" s="0" t="inlineStr">
        <is>
          <t>廿一</t>
        </is>
      </c>
    </row>
    <row r="704">
      <c r="A704" s="12" t="n">
        <v>46948</v>
      </c>
      <c r="B704" s="0" t="inlineStr">
        <is>
          <t>閏五月</t>
        </is>
      </c>
      <c r="C704" s="0" t="inlineStr">
        <is>
          <t>廿二</t>
        </is>
      </c>
    </row>
    <row r="705">
      <c r="A705" s="12" t="n">
        <v>46949</v>
      </c>
      <c r="B705" s="0" t="inlineStr">
        <is>
          <t>閏五月</t>
        </is>
      </c>
      <c r="C705" s="0" t="inlineStr">
        <is>
          <t>廿三</t>
        </is>
      </c>
    </row>
    <row r="706">
      <c r="A706" s="12" t="n">
        <v>46950</v>
      </c>
      <c r="B706" s="0" t="inlineStr">
        <is>
          <t>閏五月</t>
        </is>
      </c>
      <c r="C706" s="0" t="inlineStr">
        <is>
          <t>廿四</t>
        </is>
      </c>
    </row>
    <row r="707">
      <c r="A707" s="12" t="n">
        <v>46951</v>
      </c>
      <c r="B707" s="0" t="inlineStr">
        <is>
          <t>閏五月</t>
        </is>
      </c>
      <c r="C707" s="0" t="inlineStr">
        <is>
          <t>廿五</t>
        </is>
      </c>
    </row>
    <row r="708">
      <c r="A708" s="12" t="n">
        <v>46952</v>
      </c>
      <c r="B708" s="0" t="inlineStr">
        <is>
          <t>閏五月</t>
        </is>
      </c>
      <c r="C708" s="0" t="inlineStr">
        <is>
          <t>廿六</t>
        </is>
      </c>
    </row>
    <row r="709">
      <c r="A709" s="12" t="n">
        <v>46953</v>
      </c>
      <c r="B709" s="0" t="inlineStr">
        <is>
          <t>閏五月</t>
        </is>
      </c>
      <c r="C709" s="0" t="inlineStr">
        <is>
          <t>廿七</t>
        </is>
      </c>
    </row>
    <row r="710">
      <c r="A710" s="12" t="n">
        <v>46954</v>
      </c>
      <c r="B710" s="0" t="inlineStr">
        <is>
          <t>閏五月</t>
        </is>
      </c>
      <c r="C710" s="0" t="inlineStr">
        <is>
          <t>廿八</t>
        </is>
      </c>
    </row>
    <row r="711">
      <c r="A711" s="12" t="n">
        <v>46955</v>
      </c>
      <c r="B711" s="0" t="inlineStr">
        <is>
          <t>閏五月</t>
        </is>
      </c>
      <c r="C711" s="0" t="inlineStr">
        <is>
          <t>廿九</t>
        </is>
      </c>
    </row>
    <row r="712">
      <c r="A712" s="12" t="n">
        <v>46956</v>
      </c>
      <c r="B712" s="0" t="inlineStr">
        <is>
          <t>六月</t>
        </is>
      </c>
      <c r="C712" s="0" t="inlineStr">
        <is>
          <t>初一</t>
        </is>
      </c>
    </row>
    <row r="713">
      <c r="A713" s="12" t="n">
        <v>46957</v>
      </c>
      <c r="B713" s="0" t="inlineStr">
        <is>
          <t>六月</t>
        </is>
      </c>
      <c r="C713" s="0" t="inlineStr">
        <is>
          <t>初二</t>
        </is>
      </c>
    </row>
    <row r="714">
      <c r="A714" s="12" t="n">
        <v>46958</v>
      </c>
      <c r="B714" s="0" t="inlineStr">
        <is>
          <t>六月</t>
        </is>
      </c>
      <c r="C714" s="0" t="inlineStr">
        <is>
          <t>初三</t>
        </is>
      </c>
    </row>
    <row r="715">
      <c r="A715" s="12" t="n">
        <v>46959</v>
      </c>
      <c r="B715" s="0" t="inlineStr">
        <is>
          <t>六月</t>
        </is>
      </c>
      <c r="C715" s="0" t="inlineStr">
        <is>
          <t>初四</t>
        </is>
      </c>
    </row>
    <row r="716">
      <c r="A716" s="12" t="n">
        <v>46960</v>
      </c>
      <c r="B716" s="0" t="inlineStr">
        <is>
          <t>六月</t>
        </is>
      </c>
      <c r="C716" s="0" t="inlineStr">
        <is>
          <t>初五</t>
        </is>
      </c>
    </row>
    <row r="717">
      <c r="A717" s="12" t="n">
        <v>46961</v>
      </c>
      <c r="B717" s="0" t="inlineStr">
        <is>
          <t>六月</t>
        </is>
      </c>
      <c r="C717" s="0" t="inlineStr">
        <is>
          <t>初六</t>
        </is>
      </c>
    </row>
    <row r="718">
      <c r="A718" s="12" t="n">
        <v>46962</v>
      </c>
      <c r="B718" s="0" t="inlineStr">
        <is>
          <t>六月</t>
        </is>
      </c>
      <c r="C718" s="0" t="inlineStr">
        <is>
          <t>初七</t>
        </is>
      </c>
    </row>
    <row r="719">
      <c r="A719" s="12" t="n">
        <v>46963</v>
      </c>
      <c r="B719" s="0" t="inlineStr">
        <is>
          <t>六月</t>
        </is>
      </c>
      <c r="C719" s="0" t="inlineStr">
        <is>
          <t>初八</t>
        </is>
      </c>
    </row>
    <row r="720">
      <c r="A720" s="12" t="n">
        <v>46964</v>
      </c>
      <c r="B720" s="0" t="inlineStr">
        <is>
          <t>六月</t>
        </is>
      </c>
      <c r="C720" s="0" t="inlineStr">
        <is>
          <t>初九</t>
        </is>
      </c>
    </row>
    <row r="721">
      <c r="A721" s="12" t="n">
        <v>46965</v>
      </c>
      <c r="B721" s="0" t="inlineStr">
        <is>
          <t>六月</t>
        </is>
      </c>
      <c r="C721" s="0" t="inlineStr">
        <is>
          <t>初十</t>
        </is>
      </c>
    </row>
    <row r="722">
      <c r="A722" s="12" t="n">
        <v>46966</v>
      </c>
      <c r="B722" s="0" t="inlineStr">
        <is>
          <t>六月</t>
        </is>
      </c>
      <c r="C722" s="0" t="inlineStr">
        <is>
          <t>十一</t>
        </is>
      </c>
    </row>
    <row r="723">
      <c r="A723" s="12" t="n">
        <v>46967</v>
      </c>
      <c r="B723" s="0" t="inlineStr">
        <is>
          <t>六月</t>
        </is>
      </c>
      <c r="C723" s="0" t="inlineStr">
        <is>
          <t>十二</t>
        </is>
      </c>
    </row>
    <row r="724">
      <c r="A724" s="12" t="n">
        <v>46968</v>
      </c>
      <c r="B724" s="0" t="inlineStr">
        <is>
          <t>六月</t>
        </is>
      </c>
      <c r="C724" s="0" t="inlineStr">
        <is>
          <t>十三</t>
        </is>
      </c>
    </row>
    <row r="725">
      <c r="A725" s="12" t="n">
        <v>46969</v>
      </c>
      <c r="B725" s="0" t="inlineStr">
        <is>
          <t>六月</t>
        </is>
      </c>
      <c r="C725" s="0" t="inlineStr">
        <is>
          <t>十四</t>
        </is>
      </c>
    </row>
    <row r="726">
      <c r="A726" s="12" t="n">
        <v>46970</v>
      </c>
      <c r="B726" s="0" t="inlineStr">
        <is>
          <t>六月</t>
        </is>
      </c>
      <c r="C726" s="0" t="inlineStr">
        <is>
          <t>十五</t>
        </is>
      </c>
    </row>
    <row r="727">
      <c r="A727" s="12" t="n">
        <v>46971</v>
      </c>
      <c r="B727" s="0" t="inlineStr">
        <is>
          <t>六月</t>
        </is>
      </c>
      <c r="C727" s="0" t="inlineStr">
        <is>
          <t>十六</t>
        </is>
      </c>
    </row>
    <row r="728">
      <c r="A728" s="12" t="n">
        <v>46972</v>
      </c>
      <c r="B728" s="0" t="inlineStr">
        <is>
          <t>六月</t>
        </is>
      </c>
      <c r="C728" s="0" t="inlineStr">
        <is>
          <t>十七</t>
        </is>
      </c>
    </row>
    <row r="729">
      <c r="A729" s="12" t="n">
        <v>46973</v>
      </c>
      <c r="B729" s="0" t="inlineStr">
        <is>
          <t>六月</t>
        </is>
      </c>
      <c r="C729" s="0" t="inlineStr">
        <is>
          <t>十八</t>
        </is>
      </c>
    </row>
    <row r="730">
      <c r="A730" s="12" t="n">
        <v>46974</v>
      </c>
      <c r="B730" s="0" t="inlineStr">
        <is>
          <t>六月</t>
        </is>
      </c>
      <c r="C730" s="0" t="inlineStr">
        <is>
          <t>十九</t>
        </is>
      </c>
    </row>
    <row r="731">
      <c r="A731" s="12" t="n">
        <v>46975</v>
      </c>
      <c r="B731" s="0" t="inlineStr">
        <is>
          <t>六月</t>
        </is>
      </c>
      <c r="C731" s="0" t="inlineStr">
        <is>
          <t>二十</t>
        </is>
      </c>
    </row>
    <row r="732">
      <c r="A732" s="12" t="n">
        <v>46976</v>
      </c>
      <c r="B732" s="0" t="inlineStr">
        <is>
          <t>六月</t>
        </is>
      </c>
      <c r="C732" s="0" t="inlineStr">
        <is>
          <t>廿一</t>
        </is>
      </c>
    </row>
    <row r="733">
      <c r="A733" s="12" t="n">
        <v>46977</v>
      </c>
      <c r="B733" s="0" t="inlineStr">
        <is>
          <t>六月</t>
        </is>
      </c>
      <c r="C733" s="0" t="inlineStr">
        <is>
          <t>廿二</t>
        </is>
      </c>
    </row>
    <row r="734">
      <c r="A734" s="12" t="n">
        <v>46978</v>
      </c>
      <c r="B734" s="0" t="inlineStr">
        <is>
          <t>六月</t>
        </is>
      </c>
      <c r="C734" s="0" t="inlineStr">
        <is>
          <t>廿三</t>
        </is>
      </c>
    </row>
    <row r="735">
      <c r="A735" s="12" t="n">
        <v>46979</v>
      </c>
      <c r="B735" s="0" t="inlineStr">
        <is>
          <t>六月</t>
        </is>
      </c>
      <c r="C735" s="0" t="inlineStr">
        <is>
          <t>廿四</t>
        </is>
      </c>
    </row>
    <row r="736">
      <c r="A736" s="12" t="n">
        <v>46980</v>
      </c>
      <c r="B736" s="0" t="inlineStr">
        <is>
          <t>六月</t>
        </is>
      </c>
      <c r="C736" s="0" t="inlineStr">
        <is>
          <t>廿五</t>
        </is>
      </c>
    </row>
    <row r="737">
      <c r="A737" s="12" t="n">
        <v>46981</v>
      </c>
      <c r="B737" s="0" t="inlineStr">
        <is>
          <t>六月</t>
        </is>
      </c>
      <c r="C737" s="0" t="inlineStr">
        <is>
          <t>廿六</t>
        </is>
      </c>
    </row>
    <row r="738">
      <c r="A738" s="12" t="n">
        <v>46982</v>
      </c>
      <c r="B738" s="0" t="inlineStr">
        <is>
          <t>六月</t>
        </is>
      </c>
      <c r="C738" s="0" t="inlineStr">
        <is>
          <t>廿七</t>
        </is>
      </c>
    </row>
    <row r="739">
      <c r="A739" s="12" t="n">
        <v>46983</v>
      </c>
      <c r="B739" s="0" t="inlineStr">
        <is>
          <t>六月</t>
        </is>
      </c>
      <c r="C739" s="0" t="inlineStr">
        <is>
          <t>廿八</t>
        </is>
      </c>
    </row>
    <row r="740">
      <c r="A740" s="12" t="n">
        <v>46984</v>
      </c>
      <c r="B740" s="0" t="inlineStr">
        <is>
          <t>六月</t>
        </is>
      </c>
      <c r="C740" s="0" t="inlineStr">
        <is>
          <t>廿九</t>
        </is>
      </c>
    </row>
    <row r="741">
      <c r="A741" s="12" t="n">
        <v>46985</v>
      </c>
      <c r="B741" s="0" t="inlineStr">
        <is>
          <t>七月</t>
        </is>
      </c>
      <c r="C741" s="0" t="inlineStr">
        <is>
          <t>初一</t>
        </is>
      </c>
    </row>
    <row r="742">
      <c r="A742" s="12" t="n">
        <v>46986</v>
      </c>
      <c r="B742" s="0" t="inlineStr">
        <is>
          <t>七月</t>
        </is>
      </c>
      <c r="C742" s="0" t="inlineStr">
        <is>
          <t>初二</t>
        </is>
      </c>
    </row>
    <row r="743">
      <c r="A743" s="12" t="n">
        <v>46987</v>
      </c>
      <c r="B743" s="0" t="inlineStr">
        <is>
          <t>七月</t>
        </is>
      </c>
      <c r="C743" s="0" t="inlineStr">
        <is>
          <t>初三</t>
        </is>
      </c>
    </row>
    <row r="744">
      <c r="A744" s="12" t="n">
        <v>46988</v>
      </c>
      <c r="B744" s="0" t="inlineStr">
        <is>
          <t>七月</t>
        </is>
      </c>
      <c r="C744" s="0" t="inlineStr">
        <is>
          <t>初四</t>
        </is>
      </c>
    </row>
    <row r="745">
      <c r="A745" s="12" t="n">
        <v>46989</v>
      </c>
      <c r="B745" s="0" t="inlineStr">
        <is>
          <t>七月</t>
        </is>
      </c>
      <c r="C745" s="0" t="inlineStr">
        <is>
          <t>初五</t>
        </is>
      </c>
    </row>
    <row r="746">
      <c r="A746" s="12" t="n">
        <v>46990</v>
      </c>
      <c r="B746" s="0" t="inlineStr">
        <is>
          <t>七月</t>
        </is>
      </c>
      <c r="C746" s="0" t="inlineStr">
        <is>
          <t>初六</t>
        </is>
      </c>
    </row>
    <row r="747">
      <c r="A747" s="12" t="n">
        <v>46991</v>
      </c>
      <c r="B747" s="0" t="inlineStr">
        <is>
          <t>七月</t>
        </is>
      </c>
      <c r="C747" s="0" t="inlineStr">
        <is>
          <t>初七</t>
        </is>
      </c>
    </row>
    <row r="748">
      <c r="A748" s="12" t="n">
        <v>46992</v>
      </c>
      <c r="B748" s="0" t="inlineStr">
        <is>
          <t>七月</t>
        </is>
      </c>
      <c r="C748" s="0" t="inlineStr">
        <is>
          <t>初八</t>
        </is>
      </c>
    </row>
    <row r="749">
      <c r="A749" s="12" t="n">
        <v>46993</v>
      </c>
      <c r="B749" s="0" t="inlineStr">
        <is>
          <t>七月</t>
        </is>
      </c>
      <c r="C749" s="0" t="inlineStr">
        <is>
          <t>初九</t>
        </is>
      </c>
    </row>
    <row r="750">
      <c r="A750" s="12" t="n">
        <v>46994</v>
      </c>
      <c r="B750" s="0" t="inlineStr">
        <is>
          <t>七月</t>
        </is>
      </c>
      <c r="C750" s="0" t="inlineStr">
        <is>
          <t>初十</t>
        </is>
      </c>
    </row>
    <row r="751">
      <c r="A751" s="12" t="n">
        <v>46995</v>
      </c>
      <c r="B751" s="0" t="inlineStr">
        <is>
          <t>七月</t>
        </is>
      </c>
      <c r="C751" s="0" t="inlineStr">
        <is>
          <t>十一</t>
        </is>
      </c>
    </row>
    <row r="752">
      <c r="A752" s="12" t="n">
        <v>46996</v>
      </c>
      <c r="B752" s="0" t="inlineStr">
        <is>
          <t>七月</t>
        </is>
      </c>
      <c r="C752" s="0" t="inlineStr">
        <is>
          <t>十二</t>
        </is>
      </c>
    </row>
    <row r="753">
      <c r="A753" s="12" t="n">
        <v>46997</v>
      </c>
      <c r="B753" s="0" t="inlineStr">
        <is>
          <t>七月</t>
        </is>
      </c>
      <c r="C753" s="0" t="inlineStr">
        <is>
          <t>十三</t>
        </is>
      </c>
    </row>
    <row r="754">
      <c r="A754" s="12" t="n">
        <v>46998</v>
      </c>
      <c r="B754" s="0" t="inlineStr">
        <is>
          <t>七月</t>
        </is>
      </c>
      <c r="C754" s="0" t="inlineStr">
        <is>
          <t>十四</t>
        </is>
      </c>
    </row>
    <row r="755">
      <c r="A755" s="12" t="n">
        <v>46999</v>
      </c>
      <c r="B755" s="0" t="inlineStr">
        <is>
          <t>七月</t>
        </is>
      </c>
      <c r="C755" s="0" t="inlineStr">
        <is>
          <t>十五</t>
        </is>
      </c>
    </row>
    <row r="756">
      <c r="A756" s="12" t="n">
        <v>47000</v>
      </c>
      <c r="B756" s="0" t="inlineStr">
        <is>
          <t>七月</t>
        </is>
      </c>
      <c r="C756" s="0" t="inlineStr">
        <is>
          <t>十六</t>
        </is>
      </c>
    </row>
    <row r="757">
      <c r="A757" s="12" t="n">
        <v>47001</v>
      </c>
      <c r="B757" s="0" t="inlineStr">
        <is>
          <t>七月</t>
        </is>
      </c>
      <c r="C757" s="0" t="inlineStr">
        <is>
          <t>十七</t>
        </is>
      </c>
    </row>
    <row r="758">
      <c r="A758" s="12" t="n">
        <v>47002</v>
      </c>
      <c r="B758" s="0" t="inlineStr">
        <is>
          <t>七月</t>
        </is>
      </c>
      <c r="C758" s="0" t="inlineStr">
        <is>
          <t>十八</t>
        </is>
      </c>
    </row>
    <row r="759">
      <c r="A759" s="12" t="n">
        <v>47003</v>
      </c>
      <c r="B759" s="0" t="inlineStr">
        <is>
          <t>七月</t>
        </is>
      </c>
      <c r="C759" s="0" t="inlineStr">
        <is>
          <t>十九</t>
        </is>
      </c>
    </row>
    <row r="760">
      <c r="A760" s="12" t="n">
        <v>47004</v>
      </c>
      <c r="B760" s="0" t="inlineStr">
        <is>
          <t>七月</t>
        </is>
      </c>
      <c r="C760" s="0" t="inlineStr">
        <is>
          <t>二十</t>
        </is>
      </c>
    </row>
    <row r="761">
      <c r="A761" s="12" t="n">
        <v>47005</v>
      </c>
      <c r="B761" s="0" t="inlineStr">
        <is>
          <t>七月</t>
        </is>
      </c>
      <c r="C761" s="0" t="inlineStr">
        <is>
          <t>廿一</t>
        </is>
      </c>
    </row>
    <row r="762">
      <c r="A762" s="12" t="n">
        <v>47006</v>
      </c>
      <c r="B762" s="0" t="inlineStr">
        <is>
          <t>七月</t>
        </is>
      </c>
      <c r="C762" s="0" t="inlineStr">
        <is>
          <t>廿二</t>
        </is>
      </c>
    </row>
    <row r="763">
      <c r="A763" s="12" t="n">
        <v>47007</v>
      </c>
      <c r="B763" s="0" t="inlineStr">
        <is>
          <t>七月</t>
        </is>
      </c>
      <c r="C763" s="0" t="inlineStr">
        <is>
          <t>廿三</t>
        </is>
      </c>
    </row>
    <row r="764">
      <c r="A764" s="12" t="n">
        <v>47008</v>
      </c>
      <c r="B764" s="0" t="inlineStr">
        <is>
          <t>七月</t>
        </is>
      </c>
      <c r="C764" s="0" t="inlineStr">
        <is>
          <t>廿四</t>
        </is>
      </c>
    </row>
    <row r="765">
      <c r="A765" s="12" t="n">
        <v>47009</v>
      </c>
      <c r="B765" s="0" t="inlineStr">
        <is>
          <t>七月</t>
        </is>
      </c>
      <c r="C765" s="0" t="inlineStr">
        <is>
          <t>廿五</t>
        </is>
      </c>
    </row>
    <row r="766">
      <c r="A766" s="12" t="n">
        <v>47010</v>
      </c>
      <c r="B766" s="0" t="inlineStr">
        <is>
          <t>七月</t>
        </is>
      </c>
      <c r="C766" s="0" t="inlineStr">
        <is>
          <t>廿六</t>
        </is>
      </c>
    </row>
    <row r="767">
      <c r="A767" s="12" t="n">
        <v>47011</v>
      </c>
      <c r="B767" s="0" t="inlineStr">
        <is>
          <t>七月</t>
        </is>
      </c>
      <c r="C767" s="0" t="inlineStr">
        <is>
          <t>廿七</t>
        </is>
      </c>
    </row>
    <row r="768">
      <c r="A768" s="12" t="n">
        <v>47012</v>
      </c>
      <c r="B768" s="0" t="inlineStr">
        <is>
          <t>七月</t>
        </is>
      </c>
      <c r="C768" s="0" t="inlineStr">
        <is>
          <t>廿八</t>
        </is>
      </c>
    </row>
    <row r="769">
      <c r="A769" s="12" t="n">
        <v>47013</v>
      </c>
      <c r="B769" s="0" t="inlineStr">
        <is>
          <t>七月</t>
        </is>
      </c>
      <c r="C769" s="0" t="inlineStr">
        <is>
          <t>廿九</t>
        </is>
      </c>
    </row>
    <row r="770">
      <c r="A770" s="12" t="n">
        <v>47014</v>
      </c>
      <c r="B770" s="0" t="inlineStr">
        <is>
          <t>七月</t>
        </is>
      </c>
      <c r="C770" s="0" t="inlineStr">
        <is>
          <t>三十</t>
        </is>
      </c>
    </row>
    <row r="771">
      <c r="A771" s="12" t="n">
        <v>47015</v>
      </c>
      <c r="B771" s="0" t="inlineStr">
        <is>
          <t>八月</t>
        </is>
      </c>
      <c r="C771" s="0" t="inlineStr">
        <is>
          <t>初一</t>
        </is>
      </c>
    </row>
    <row r="772">
      <c r="A772" s="12" t="n">
        <v>47016</v>
      </c>
      <c r="B772" s="0" t="inlineStr">
        <is>
          <t>八月</t>
        </is>
      </c>
      <c r="C772" s="0" t="inlineStr">
        <is>
          <t>初二</t>
        </is>
      </c>
    </row>
    <row r="773">
      <c r="A773" s="12" t="n">
        <v>47017</v>
      </c>
      <c r="B773" s="0" t="inlineStr">
        <is>
          <t>八月</t>
        </is>
      </c>
      <c r="C773" s="0" t="inlineStr">
        <is>
          <t>初三</t>
        </is>
      </c>
    </row>
    <row r="774">
      <c r="A774" s="12" t="n">
        <v>47018</v>
      </c>
      <c r="B774" s="0" t="inlineStr">
        <is>
          <t>八月</t>
        </is>
      </c>
      <c r="C774" s="0" t="inlineStr">
        <is>
          <t>初四</t>
        </is>
      </c>
    </row>
    <row r="775">
      <c r="A775" s="12" t="n">
        <v>47019</v>
      </c>
      <c r="B775" s="0" t="inlineStr">
        <is>
          <t>八月</t>
        </is>
      </c>
      <c r="C775" s="0" t="inlineStr">
        <is>
          <t>初五</t>
        </is>
      </c>
    </row>
    <row r="776">
      <c r="A776" s="12" t="n">
        <v>47020</v>
      </c>
      <c r="B776" s="0" t="inlineStr">
        <is>
          <t>八月</t>
        </is>
      </c>
      <c r="C776" s="0" t="inlineStr">
        <is>
          <t>初六</t>
        </is>
      </c>
    </row>
    <row r="777">
      <c r="A777" s="12" t="n">
        <v>47021</v>
      </c>
      <c r="B777" s="0" t="inlineStr">
        <is>
          <t>八月</t>
        </is>
      </c>
      <c r="C777" s="0" t="inlineStr">
        <is>
          <t>初七</t>
        </is>
      </c>
    </row>
    <row r="778">
      <c r="A778" s="12" t="n">
        <v>47022</v>
      </c>
      <c r="B778" s="0" t="inlineStr">
        <is>
          <t>八月</t>
        </is>
      </c>
      <c r="C778" s="0" t="inlineStr">
        <is>
          <t>初八</t>
        </is>
      </c>
    </row>
    <row r="779">
      <c r="A779" s="12" t="n">
        <v>47023</v>
      </c>
      <c r="B779" s="0" t="inlineStr">
        <is>
          <t>八月</t>
        </is>
      </c>
      <c r="C779" s="0" t="inlineStr">
        <is>
          <t>初九</t>
        </is>
      </c>
    </row>
    <row r="780">
      <c r="A780" s="12" t="n">
        <v>47024</v>
      </c>
      <c r="B780" s="0" t="inlineStr">
        <is>
          <t>八月</t>
        </is>
      </c>
      <c r="C780" s="0" t="inlineStr">
        <is>
          <t>初十</t>
        </is>
      </c>
    </row>
    <row r="781">
      <c r="A781" s="12" t="n">
        <v>47025</v>
      </c>
      <c r="B781" s="0" t="inlineStr">
        <is>
          <t>八月</t>
        </is>
      </c>
      <c r="C781" s="0" t="inlineStr">
        <is>
          <t>十一</t>
        </is>
      </c>
    </row>
    <row r="782">
      <c r="A782" s="12" t="n">
        <v>47026</v>
      </c>
      <c r="B782" s="0" t="inlineStr">
        <is>
          <t>八月</t>
        </is>
      </c>
      <c r="C782" s="0" t="inlineStr">
        <is>
          <t>十二</t>
        </is>
      </c>
    </row>
    <row r="783">
      <c r="A783" s="12" t="n">
        <v>47027</v>
      </c>
      <c r="B783" s="0" t="inlineStr">
        <is>
          <t>八月</t>
        </is>
      </c>
      <c r="C783" s="0" t="inlineStr">
        <is>
          <t>十三</t>
        </is>
      </c>
    </row>
    <row r="784">
      <c r="A784" s="12" t="n">
        <v>47028</v>
      </c>
      <c r="B784" s="0" t="inlineStr">
        <is>
          <t>八月</t>
        </is>
      </c>
      <c r="C784" s="0" t="inlineStr">
        <is>
          <t>十四</t>
        </is>
      </c>
    </row>
    <row r="785">
      <c r="A785" s="12" t="n">
        <v>47029</v>
      </c>
      <c r="B785" s="0" t="inlineStr">
        <is>
          <t>八月</t>
        </is>
      </c>
      <c r="C785" s="0" t="inlineStr">
        <is>
          <t>十五</t>
        </is>
      </c>
    </row>
    <row r="786">
      <c r="A786" s="12" t="n">
        <v>47030</v>
      </c>
      <c r="B786" s="0" t="inlineStr">
        <is>
          <t>八月</t>
        </is>
      </c>
      <c r="C786" s="0" t="inlineStr">
        <is>
          <t>十六</t>
        </is>
      </c>
    </row>
    <row r="787">
      <c r="A787" s="12" t="n">
        <v>47031</v>
      </c>
      <c r="B787" s="0" t="inlineStr">
        <is>
          <t>八月</t>
        </is>
      </c>
      <c r="C787" s="0" t="inlineStr">
        <is>
          <t>十七</t>
        </is>
      </c>
    </row>
    <row r="788">
      <c r="A788" s="12" t="n">
        <v>47032</v>
      </c>
      <c r="B788" s="0" t="inlineStr">
        <is>
          <t>八月</t>
        </is>
      </c>
      <c r="C788" s="0" t="inlineStr">
        <is>
          <t>十八</t>
        </is>
      </c>
    </row>
    <row r="789">
      <c r="A789" s="12" t="n">
        <v>47033</v>
      </c>
      <c r="B789" s="0" t="inlineStr">
        <is>
          <t>八月</t>
        </is>
      </c>
      <c r="C789" s="0" t="inlineStr">
        <is>
          <t>十九</t>
        </is>
      </c>
    </row>
    <row r="790">
      <c r="A790" s="12" t="n">
        <v>47034</v>
      </c>
      <c r="B790" s="0" t="inlineStr">
        <is>
          <t>八月</t>
        </is>
      </c>
      <c r="C790" s="0" t="inlineStr">
        <is>
          <t>二十</t>
        </is>
      </c>
    </row>
    <row r="791">
      <c r="A791" s="12" t="n">
        <v>47035</v>
      </c>
      <c r="B791" s="0" t="inlineStr">
        <is>
          <t>八月</t>
        </is>
      </c>
      <c r="C791" s="0" t="inlineStr">
        <is>
          <t>廿一</t>
        </is>
      </c>
    </row>
    <row r="792">
      <c r="A792" s="12" t="n">
        <v>47036</v>
      </c>
      <c r="B792" s="0" t="inlineStr">
        <is>
          <t>八月</t>
        </is>
      </c>
      <c r="C792" s="0" t="inlineStr">
        <is>
          <t>廿二</t>
        </is>
      </c>
    </row>
    <row r="793">
      <c r="A793" s="12" t="n">
        <v>47037</v>
      </c>
      <c r="B793" s="0" t="inlineStr">
        <is>
          <t>八月</t>
        </is>
      </c>
      <c r="C793" s="0" t="inlineStr">
        <is>
          <t>廿三</t>
        </is>
      </c>
    </row>
    <row r="794">
      <c r="A794" s="12" t="n">
        <v>47038</v>
      </c>
      <c r="B794" s="0" t="inlineStr">
        <is>
          <t>八月</t>
        </is>
      </c>
      <c r="C794" s="0" t="inlineStr">
        <is>
          <t>廿四</t>
        </is>
      </c>
    </row>
    <row r="795">
      <c r="A795" s="12" t="n">
        <v>47039</v>
      </c>
      <c r="B795" s="0" t="inlineStr">
        <is>
          <t>八月</t>
        </is>
      </c>
      <c r="C795" s="0" t="inlineStr">
        <is>
          <t>廿五</t>
        </is>
      </c>
    </row>
    <row r="796">
      <c r="A796" s="12" t="n">
        <v>47040</v>
      </c>
      <c r="B796" s="0" t="inlineStr">
        <is>
          <t>八月</t>
        </is>
      </c>
      <c r="C796" s="0" t="inlineStr">
        <is>
          <t>廿六</t>
        </is>
      </c>
    </row>
    <row r="797">
      <c r="A797" s="12" t="n">
        <v>47041</v>
      </c>
      <c r="B797" s="0" t="inlineStr">
        <is>
          <t>八月</t>
        </is>
      </c>
      <c r="C797" s="0" t="inlineStr">
        <is>
          <t>廿七</t>
        </is>
      </c>
    </row>
    <row r="798">
      <c r="A798" s="12" t="n">
        <v>47042</v>
      </c>
      <c r="B798" s="0" t="inlineStr">
        <is>
          <t>八月</t>
        </is>
      </c>
      <c r="C798" s="0" t="inlineStr">
        <is>
          <t>廿八</t>
        </is>
      </c>
    </row>
    <row r="799">
      <c r="A799" s="12" t="n">
        <v>47043</v>
      </c>
      <c r="B799" s="0" t="inlineStr">
        <is>
          <t>八月</t>
        </is>
      </c>
      <c r="C799" s="0" t="inlineStr">
        <is>
          <t>廿九</t>
        </is>
      </c>
    </row>
    <row r="800">
      <c r="A800" s="12" t="n">
        <v>47044</v>
      </c>
      <c r="B800" s="0" t="inlineStr">
        <is>
          <t>九月</t>
        </is>
      </c>
      <c r="C800" s="0" t="inlineStr">
        <is>
          <t>初一</t>
        </is>
      </c>
    </row>
    <row r="801">
      <c r="A801" s="12" t="n">
        <v>47045</v>
      </c>
      <c r="B801" s="0" t="inlineStr">
        <is>
          <t>九月</t>
        </is>
      </c>
      <c r="C801" s="0" t="inlineStr">
        <is>
          <t>初二</t>
        </is>
      </c>
    </row>
    <row r="802">
      <c r="A802" s="12" t="n">
        <v>47046</v>
      </c>
      <c r="B802" s="0" t="inlineStr">
        <is>
          <t>九月</t>
        </is>
      </c>
      <c r="C802" s="0" t="inlineStr">
        <is>
          <t>初三</t>
        </is>
      </c>
    </row>
    <row r="803">
      <c r="A803" s="12" t="n">
        <v>47047</v>
      </c>
      <c r="B803" s="0" t="inlineStr">
        <is>
          <t>九月</t>
        </is>
      </c>
      <c r="C803" s="0" t="inlineStr">
        <is>
          <t>初四</t>
        </is>
      </c>
    </row>
    <row r="804">
      <c r="A804" s="12" t="n">
        <v>47048</v>
      </c>
      <c r="B804" s="0" t="inlineStr">
        <is>
          <t>九月</t>
        </is>
      </c>
      <c r="C804" s="0" t="inlineStr">
        <is>
          <t>初五</t>
        </is>
      </c>
    </row>
    <row r="805">
      <c r="A805" s="12" t="n">
        <v>47049</v>
      </c>
      <c r="B805" s="0" t="inlineStr">
        <is>
          <t>九月</t>
        </is>
      </c>
      <c r="C805" s="0" t="inlineStr">
        <is>
          <t>初六</t>
        </is>
      </c>
    </row>
    <row r="806">
      <c r="A806" s="12" t="n">
        <v>47050</v>
      </c>
      <c r="B806" s="0" t="inlineStr">
        <is>
          <t>九月</t>
        </is>
      </c>
      <c r="C806" s="0" t="inlineStr">
        <is>
          <t>初七</t>
        </is>
      </c>
    </row>
    <row r="807">
      <c r="A807" s="12" t="n">
        <v>47051</v>
      </c>
      <c r="B807" s="0" t="inlineStr">
        <is>
          <t>九月</t>
        </is>
      </c>
      <c r="C807" s="0" t="inlineStr">
        <is>
          <t>初八</t>
        </is>
      </c>
    </row>
    <row r="808">
      <c r="A808" s="12" t="n">
        <v>47052</v>
      </c>
      <c r="B808" s="0" t="inlineStr">
        <is>
          <t>九月</t>
        </is>
      </c>
      <c r="C808" s="0" t="inlineStr">
        <is>
          <t>初九</t>
        </is>
      </c>
    </row>
    <row r="809">
      <c r="A809" s="12" t="n">
        <v>47053</v>
      </c>
      <c r="B809" s="0" t="inlineStr">
        <is>
          <t>九月</t>
        </is>
      </c>
      <c r="C809" s="0" t="inlineStr">
        <is>
          <t>初十</t>
        </is>
      </c>
    </row>
    <row r="810">
      <c r="A810" s="12" t="n">
        <v>47054</v>
      </c>
      <c r="B810" s="0" t="inlineStr">
        <is>
          <t>九月</t>
        </is>
      </c>
      <c r="C810" s="0" t="inlineStr">
        <is>
          <t>十一</t>
        </is>
      </c>
    </row>
    <row r="811">
      <c r="A811" s="12" t="n">
        <v>47055</v>
      </c>
      <c r="B811" s="0" t="inlineStr">
        <is>
          <t>九月</t>
        </is>
      </c>
      <c r="C811" s="0" t="inlineStr">
        <is>
          <t>十二</t>
        </is>
      </c>
    </row>
    <row r="812">
      <c r="A812" s="12" t="n">
        <v>47056</v>
      </c>
      <c r="B812" s="0" t="inlineStr">
        <is>
          <t>九月</t>
        </is>
      </c>
      <c r="C812" s="0" t="inlineStr">
        <is>
          <t>十三</t>
        </is>
      </c>
    </row>
    <row r="813">
      <c r="A813" s="12" t="n">
        <v>47057</v>
      </c>
      <c r="B813" s="0" t="inlineStr">
        <is>
          <t>九月</t>
        </is>
      </c>
      <c r="C813" s="0" t="inlineStr">
        <is>
          <t>十四</t>
        </is>
      </c>
    </row>
    <row r="814">
      <c r="A814" s="12" t="n">
        <v>47058</v>
      </c>
      <c r="B814" s="0" t="inlineStr">
        <is>
          <t>九月</t>
        </is>
      </c>
      <c r="C814" s="0" t="inlineStr">
        <is>
          <t>十五</t>
        </is>
      </c>
    </row>
    <row r="815">
      <c r="A815" s="12" t="n">
        <v>47059</v>
      </c>
      <c r="B815" s="0" t="inlineStr">
        <is>
          <t>九月</t>
        </is>
      </c>
      <c r="C815" s="0" t="inlineStr">
        <is>
          <t>十六</t>
        </is>
      </c>
    </row>
    <row r="816">
      <c r="A816" s="12" t="n">
        <v>47060</v>
      </c>
      <c r="B816" s="0" t="inlineStr">
        <is>
          <t>九月</t>
        </is>
      </c>
      <c r="C816" s="0" t="inlineStr">
        <is>
          <t>十七</t>
        </is>
      </c>
    </row>
    <row r="817">
      <c r="A817" s="12" t="n">
        <v>47061</v>
      </c>
      <c r="B817" s="0" t="inlineStr">
        <is>
          <t>九月</t>
        </is>
      </c>
      <c r="C817" s="0" t="inlineStr">
        <is>
          <t>十八</t>
        </is>
      </c>
    </row>
    <row r="818">
      <c r="A818" s="12" t="n">
        <v>47062</v>
      </c>
      <c r="B818" s="0" t="inlineStr">
        <is>
          <t>九月</t>
        </is>
      </c>
      <c r="C818" s="0" t="inlineStr">
        <is>
          <t>十九</t>
        </is>
      </c>
    </row>
    <row r="819">
      <c r="A819" s="12" t="n">
        <v>47063</v>
      </c>
      <c r="B819" s="0" t="inlineStr">
        <is>
          <t>九月</t>
        </is>
      </c>
      <c r="C819" s="0" t="inlineStr">
        <is>
          <t>二十</t>
        </is>
      </c>
    </row>
    <row r="820">
      <c r="A820" s="12" t="n">
        <v>47064</v>
      </c>
      <c r="B820" s="0" t="inlineStr">
        <is>
          <t>九月</t>
        </is>
      </c>
      <c r="C820" s="0" t="inlineStr">
        <is>
          <t>廿一</t>
        </is>
      </c>
    </row>
    <row r="821">
      <c r="A821" s="12" t="n">
        <v>47065</v>
      </c>
      <c r="B821" s="0" t="inlineStr">
        <is>
          <t>九月</t>
        </is>
      </c>
      <c r="C821" s="0" t="inlineStr">
        <is>
          <t>廿二</t>
        </is>
      </c>
    </row>
    <row r="822">
      <c r="A822" s="12" t="n">
        <v>47066</v>
      </c>
      <c r="B822" s="0" t="inlineStr">
        <is>
          <t>九月</t>
        </is>
      </c>
      <c r="C822" s="0" t="inlineStr">
        <is>
          <t>廿三</t>
        </is>
      </c>
    </row>
    <row r="823">
      <c r="A823" s="12" t="n">
        <v>47067</v>
      </c>
      <c r="B823" s="0" t="inlineStr">
        <is>
          <t>九月</t>
        </is>
      </c>
      <c r="C823" s="0" t="inlineStr">
        <is>
          <t>廿四</t>
        </is>
      </c>
    </row>
    <row r="824">
      <c r="A824" s="12" t="n">
        <v>47068</v>
      </c>
      <c r="B824" s="0" t="inlineStr">
        <is>
          <t>九月</t>
        </is>
      </c>
      <c r="C824" s="0" t="inlineStr">
        <is>
          <t>廿五</t>
        </is>
      </c>
    </row>
    <row r="825">
      <c r="A825" s="12" t="n">
        <v>47069</v>
      </c>
      <c r="B825" s="0" t="inlineStr">
        <is>
          <t>九月</t>
        </is>
      </c>
      <c r="C825" s="0" t="inlineStr">
        <is>
          <t>廿六</t>
        </is>
      </c>
    </row>
    <row r="826">
      <c r="A826" s="12" t="n">
        <v>47070</v>
      </c>
      <c r="B826" s="0" t="inlineStr">
        <is>
          <t>九月</t>
        </is>
      </c>
      <c r="C826" s="0" t="inlineStr">
        <is>
          <t>廿七</t>
        </is>
      </c>
    </row>
    <row r="827">
      <c r="A827" s="12" t="n">
        <v>47071</v>
      </c>
      <c r="B827" s="0" t="inlineStr">
        <is>
          <t>九月</t>
        </is>
      </c>
      <c r="C827" s="0" t="inlineStr">
        <is>
          <t>廿八</t>
        </is>
      </c>
    </row>
    <row r="828">
      <c r="A828" s="12" t="n">
        <v>47072</v>
      </c>
      <c r="B828" s="0" t="inlineStr">
        <is>
          <t>九月</t>
        </is>
      </c>
      <c r="C828" s="0" t="inlineStr">
        <is>
          <t>廿九</t>
        </is>
      </c>
    </row>
    <row r="829">
      <c r="A829" s="12" t="n">
        <v>47073</v>
      </c>
      <c r="B829" s="0" t="inlineStr">
        <is>
          <t>十月</t>
        </is>
      </c>
      <c r="C829" s="0" t="inlineStr">
        <is>
          <t>初一</t>
        </is>
      </c>
    </row>
    <row r="830">
      <c r="A830" s="12" t="n">
        <v>47074</v>
      </c>
      <c r="B830" s="0" t="inlineStr">
        <is>
          <t>十月</t>
        </is>
      </c>
      <c r="C830" s="0" t="inlineStr">
        <is>
          <t>初二</t>
        </is>
      </c>
    </row>
    <row r="831">
      <c r="A831" s="12" t="n">
        <v>47075</v>
      </c>
      <c r="B831" s="0" t="inlineStr">
        <is>
          <t>十月</t>
        </is>
      </c>
      <c r="C831" s="0" t="inlineStr">
        <is>
          <t>初三</t>
        </is>
      </c>
    </row>
    <row r="832">
      <c r="A832" s="12" t="n">
        <v>47076</v>
      </c>
      <c r="B832" s="0" t="inlineStr">
        <is>
          <t>十月</t>
        </is>
      </c>
      <c r="C832" s="0" t="inlineStr">
        <is>
          <t>初四</t>
        </is>
      </c>
    </row>
    <row r="833">
      <c r="A833" s="12" t="n">
        <v>47077</v>
      </c>
      <c r="B833" s="0" t="inlineStr">
        <is>
          <t>十月</t>
        </is>
      </c>
      <c r="C833" s="0" t="inlineStr">
        <is>
          <t>初五</t>
        </is>
      </c>
    </row>
    <row r="834">
      <c r="A834" s="12" t="n">
        <v>47078</v>
      </c>
      <c r="B834" s="0" t="inlineStr">
        <is>
          <t>十月</t>
        </is>
      </c>
      <c r="C834" s="0" t="inlineStr">
        <is>
          <t>初六</t>
        </is>
      </c>
    </row>
    <row r="835">
      <c r="A835" s="12" t="n">
        <v>47079</v>
      </c>
      <c r="B835" s="0" t="inlineStr">
        <is>
          <t>十月</t>
        </is>
      </c>
      <c r="C835" s="0" t="inlineStr">
        <is>
          <t>初七</t>
        </is>
      </c>
    </row>
    <row r="836">
      <c r="A836" s="12" t="n">
        <v>47080</v>
      </c>
      <c r="B836" s="0" t="inlineStr">
        <is>
          <t>十月</t>
        </is>
      </c>
      <c r="C836" s="0" t="inlineStr">
        <is>
          <t>初八</t>
        </is>
      </c>
    </row>
    <row r="837">
      <c r="A837" s="12" t="n">
        <v>47081</v>
      </c>
      <c r="B837" s="0" t="inlineStr">
        <is>
          <t>十月</t>
        </is>
      </c>
      <c r="C837" s="0" t="inlineStr">
        <is>
          <t>初九</t>
        </is>
      </c>
    </row>
    <row r="838">
      <c r="A838" s="12" t="n">
        <v>47082</v>
      </c>
      <c r="B838" s="0" t="inlineStr">
        <is>
          <t>十月</t>
        </is>
      </c>
      <c r="C838" s="0" t="inlineStr">
        <is>
          <t>初十</t>
        </is>
      </c>
    </row>
    <row r="839">
      <c r="A839" s="12" t="n">
        <v>47083</v>
      </c>
      <c r="B839" s="0" t="inlineStr">
        <is>
          <t>十月</t>
        </is>
      </c>
      <c r="C839" s="0" t="inlineStr">
        <is>
          <t>十一</t>
        </is>
      </c>
    </row>
    <row r="840">
      <c r="A840" s="12" t="n">
        <v>47084</v>
      </c>
      <c r="B840" s="0" t="inlineStr">
        <is>
          <t>十月</t>
        </is>
      </c>
      <c r="C840" s="0" t="inlineStr">
        <is>
          <t>十二</t>
        </is>
      </c>
    </row>
    <row r="841">
      <c r="A841" s="12" t="n">
        <v>47085</v>
      </c>
      <c r="B841" s="0" t="inlineStr">
        <is>
          <t>十月</t>
        </is>
      </c>
      <c r="C841" s="0" t="inlineStr">
        <is>
          <t>十三</t>
        </is>
      </c>
    </row>
    <row r="842">
      <c r="A842" s="12" t="n">
        <v>47086</v>
      </c>
      <c r="B842" s="0" t="inlineStr">
        <is>
          <t>十月</t>
        </is>
      </c>
      <c r="C842" s="0" t="inlineStr">
        <is>
          <t>十四</t>
        </is>
      </c>
    </row>
    <row r="843">
      <c r="A843" s="12" t="n">
        <v>47087</v>
      </c>
      <c r="B843" s="0" t="inlineStr">
        <is>
          <t>十月</t>
        </is>
      </c>
      <c r="C843" s="0" t="inlineStr">
        <is>
          <t>十五</t>
        </is>
      </c>
    </row>
    <row r="844">
      <c r="A844" s="12" t="n">
        <v>47088</v>
      </c>
      <c r="B844" s="0" t="inlineStr">
        <is>
          <t>十月</t>
        </is>
      </c>
      <c r="C844" s="0" t="inlineStr">
        <is>
          <t>十六</t>
        </is>
      </c>
    </row>
    <row r="845">
      <c r="A845" s="12" t="n">
        <v>47089</v>
      </c>
      <c r="B845" s="0" t="inlineStr">
        <is>
          <t>十月</t>
        </is>
      </c>
      <c r="C845" s="0" t="inlineStr">
        <is>
          <t>十七</t>
        </is>
      </c>
    </row>
    <row r="846">
      <c r="A846" s="12" t="n">
        <v>47090</v>
      </c>
      <c r="B846" s="0" t="inlineStr">
        <is>
          <t>十月</t>
        </is>
      </c>
      <c r="C846" s="0" t="inlineStr">
        <is>
          <t>十八</t>
        </is>
      </c>
    </row>
    <row r="847">
      <c r="A847" s="12" t="n">
        <v>47091</v>
      </c>
      <c r="B847" s="0" t="inlineStr">
        <is>
          <t>十月</t>
        </is>
      </c>
      <c r="C847" s="0" t="inlineStr">
        <is>
          <t>十九</t>
        </is>
      </c>
    </row>
    <row r="848">
      <c r="A848" s="12" t="n">
        <v>47092</v>
      </c>
      <c r="B848" s="0" t="inlineStr">
        <is>
          <t>十月</t>
        </is>
      </c>
      <c r="C848" s="0" t="inlineStr">
        <is>
          <t>二十</t>
        </is>
      </c>
    </row>
    <row r="849">
      <c r="A849" s="12" t="n">
        <v>47093</v>
      </c>
      <c r="B849" s="0" t="inlineStr">
        <is>
          <t>十月</t>
        </is>
      </c>
      <c r="C849" s="0" t="inlineStr">
        <is>
          <t>廿一</t>
        </is>
      </c>
    </row>
    <row r="850">
      <c r="A850" s="12" t="n">
        <v>47094</v>
      </c>
      <c r="B850" s="0" t="inlineStr">
        <is>
          <t>十月</t>
        </is>
      </c>
      <c r="C850" s="0" t="inlineStr">
        <is>
          <t>廿二</t>
        </is>
      </c>
    </row>
    <row r="851">
      <c r="A851" s="12" t="n">
        <v>47095</v>
      </c>
      <c r="B851" s="0" t="inlineStr">
        <is>
          <t>十月</t>
        </is>
      </c>
      <c r="C851" s="0" t="inlineStr">
        <is>
          <t>廿三</t>
        </is>
      </c>
    </row>
    <row r="852">
      <c r="A852" s="12" t="n">
        <v>47096</v>
      </c>
      <c r="B852" s="0" t="inlineStr">
        <is>
          <t>十月</t>
        </is>
      </c>
      <c r="C852" s="0" t="inlineStr">
        <is>
          <t>廿四</t>
        </is>
      </c>
    </row>
    <row r="853">
      <c r="A853" s="12" t="n">
        <v>47097</v>
      </c>
      <c r="B853" s="0" t="inlineStr">
        <is>
          <t>十月</t>
        </is>
      </c>
      <c r="C853" s="0" t="inlineStr">
        <is>
          <t>廿五</t>
        </is>
      </c>
    </row>
    <row r="854">
      <c r="A854" s="12" t="n">
        <v>47098</v>
      </c>
      <c r="B854" s="0" t="inlineStr">
        <is>
          <t>十月</t>
        </is>
      </c>
      <c r="C854" s="0" t="inlineStr">
        <is>
          <t>廿六</t>
        </is>
      </c>
    </row>
    <row r="855">
      <c r="A855" s="12" t="n">
        <v>47099</v>
      </c>
      <c r="B855" s="0" t="inlineStr">
        <is>
          <t>十月</t>
        </is>
      </c>
      <c r="C855" s="0" t="inlineStr">
        <is>
          <t>廿七</t>
        </is>
      </c>
    </row>
    <row r="856">
      <c r="A856" s="12" t="n">
        <v>47100</v>
      </c>
      <c r="B856" s="0" t="inlineStr">
        <is>
          <t>十月</t>
        </is>
      </c>
      <c r="C856" s="0" t="inlineStr">
        <is>
          <t>廿八</t>
        </is>
      </c>
    </row>
    <row r="857">
      <c r="A857" s="12" t="n">
        <v>47101</v>
      </c>
      <c r="B857" s="0" t="inlineStr">
        <is>
          <t>十月</t>
        </is>
      </c>
      <c r="C857" s="0" t="inlineStr">
        <is>
          <t>廿九</t>
        </is>
      </c>
    </row>
    <row r="858">
      <c r="A858" s="12" t="n">
        <v>47102</v>
      </c>
      <c r="B858" s="0" t="inlineStr">
        <is>
          <t>十月</t>
        </is>
      </c>
      <c r="C858" s="0" t="inlineStr">
        <is>
          <t>三十</t>
        </is>
      </c>
    </row>
    <row r="859">
      <c r="A859" s="12" t="n">
        <v>47103</v>
      </c>
      <c r="B859" s="0" t="inlineStr">
        <is>
          <t>十一月</t>
        </is>
      </c>
      <c r="C859" s="0" t="inlineStr">
        <is>
          <t>初一</t>
        </is>
      </c>
    </row>
    <row r="860">
      <c r="A860" s="12" t="n">
        <v>47104</v>
      </c>
      <c r="B860" s="0" t="inlineStr">
        <is>
          <t>十一月</t>
        </is>
      </c>
      <c r="C860" s="0" t="inlineStr">
        <is>
          <t>初二</t>
        </is>
      </c>
    </row>
    <row r="861">
      <c r="A861" s="12" t="n">
        <v>47105</v>
      </c>
      <c r="B861" s="0" t="inlineStr">
        <is>
          <t>十一月</t>
        </is>
      </c>
      <c r="C861" s="0" t="inlineStr">
        <is>
          <t>初三</t>
        </is>
      </c>
    </row>
    <row r="862">
      <c r="A862" s="12" t="n">
        <v>47106</v>
      </c>
      <c r="B862" s="0" t="inlineStr">
        <is>
          <t>十一月</t>
        </is>
      </c>
      <c r="C862" s="0" t="inlineStr">
        <is>
          <t>初四</t>
        </is>
      </c>
    </row>
    <row r="863">
      <c r="A863" s="12" t="n">
        <v>47107</v>
      </c>
      <c r="B863" s="0" t="inlineStr">
        <is>
          <t>十一月</t>
        </is>
      </c>
      <c r="C863" s="0" t="inlineStr">
        <is>
          <t>初五</t>
        </is>
      </c>
    </row>
    <row r="864">
      <c r="A864" s="12" t="n">
        <v>47108</v>
      </c>
      <c r="B864" s="0" t="inlineStr">
        <is>
          <t>十一月</t>
        </is>
      </c>
      <c r="C864" s="0" t="inlineStr">
        <is>
          <t>初六</t>
        </is>
      </c>
    </row>
    <row r="865">
      <c r="A865" s="12" t="n">
        <v>47109</v>
      </c>
      <c r="B865" s="0" t="inlineStr">
        <is>
          <t>十一月</t>
        </is>
      </c>
      <c r="C865" s="0" t="inlineStr">
        <is>
          <t>初七</t>
        </is>
      </c>
    </row>
    <row r="866">
      <c r="A866" s="12" t="n">
        <v>47110</v>
      </c>
      <c r="B866" s="0" t="inlineStr">
        <is>
          <t>十一月</t>
        </is>
      </c>
      <c r="C866" s="0" t="inlineStr">
        <is>
          <t>初八</t>
        </is>
      </c>
    </row>
    <row r="867">
      <c r="A867" s="12" t="n">
        <v>47111</v>
      </c>
      <c r="B867" s="0" t="inlineStr">
        <is>
          <t>十一月</t>
        </is>
      </c>
      <c r="C867" s="0" t="inlineStr">
        <is>
          <t>初九</t>
        </is>
      </c>
    </row>
    <row r="868">
      <c r="A868" s="12" t="n">
        <v>47112</v>
      </c>
      <c r="B868" s="0" t="inlineStr">
        <is>
          <t>十一月</t>
        </is>
      </c>
      <c r="C868" s="0" t="inlineStr">
        <is>
          <t>初十</t>
        </is>
      </c>
    </row>
    <row r="869">
      <c r="A869" s="12" t="n">
        <v>47113</v>
      </c>
      <c r="B869" s="0" t="inlineStr">
        <is>
          <t>十一月</t>
        </is>
      </c>
      <c r="C869" s="0" t="inlineStr">
        <is>
          <t>十一</t>
        </is>
      </c>
    </row>
    <row r="870">
      <c r="A870" s="12" t="n">
        <v>47114</v>
      </c>
      <c r="B870" s="0" t="inlineStr">
        <is>
          <t>十一月</t>
        </is>
      </c>
      <c r="C870" s="0" t="inlineStr">
        <is>
          <t>十二</t>
        </is>
      </c>
    </row>
    <row r="871">
      <c r="A871" s="12" t="n">
        <v>47115</v>
      </c>
      <c r="B871" s="0" t="inlineStr">
        <is>
          <t>十一月</t>
        </is>
      </c>
      <c r="C871" s="0" t="inlineStr">
        <is>
          <t>十三</t>
        </is>
      </c>
    </row>
    <row r="872">
      <c r="A872" s="12" t="n">
        <v>47116</v>
      </c>
      <c r="B872" s="0" t="inlineStr">
        <is>
          <t>十一月</t>
        </is>
      </c>
      <c r="C872" s="0" t="inlineStr">
        <is>
          <t>十四</t>
        </is>
      </c>
    </row>
    <row r="873">
      <c r="A873" s="12" t="n">
        <v>47117</v>
      </c>
      <c r="B873" s="0" t="inlineStr">
        <is>
          <t>十一月</t>
        </is>
      </c>
      <c r="C873" s="0" t="inlineStr">
        <is>
          <t>十五</t>
        </is>
      </c>
    </row>
    <row r="874">
      <c r="A874" s="12" t="n">
        <v>47118</v>
      </c>
      <c r="B874" s="0" t="inlineStr">
        <is>
          <t>十一月</t>
        </is>
      </c>
      <c r="C874" s="0" t="inlineStr">
        <is>
          <t>十六</t>
        </is>
      </c>
    </row>
    <row r="875">
      <c r="A875" s="12" t="n">
        <v>47119</v>
      </c>
      <c r="B875" s="0" t="inlineStr">
        <is>
          <t>十一月</t>
        </is>
      </c>
      <c r="C875" s="0" t="inlineStr">
        <is>
          <t>十七</t>
        </is>
      </c>
    </row>
    <row r="876">
      <c r="A876" s="12" t="n">
        <v>47120</v>
      </c>
      <c r="B876" s="0" t="inlineStr">
        <is>
          <t>十一月</t>
        </is>
      </c>
      <c r="C876" s="0" t="inlineStr">
        <is>
          <t>十八</t>
        </is>
      </c>
    </row>
    <row r="877">
      <c r="A877" s="12" t="n">
        <v>47121</v>
      </c>
      <c r="B877" s="0" t="inlineStr">
        <is>
          <t>十一月</t>
        </is>
      </c>
      <c r="C877" s="0" t="inlineStr">
        <is>
          <t>十九</t>
        </is>
      </c>
    </row>
    <row r="878">
      <c r="A878" s="12" t="n">
        <v>47122</v>
      </c>
      <c r="B878" s="0" t="inlineStr">
        <is>
          <t>十一月</t>
        </is>
      </c>
      <c r="C878" s="0" t="inlineStr">
        <is>
          <t>二十</t>
        </is>
      </c>
    </row>
    <row r="879">
      <c r="A879" s="12" t="n">
        <v>47123</v>
      </c>
      <c r="B879" s="0" t="inlineStr">
        <is>
          <t>十一月</t>
        </is>
      </c>
      <c r="C879" s="0" t="inlineStr">
        <is>
          <t>廿一</t>
        </is>
      </c>
    </row>
    <row r="880">
      <c r="A880" s="12" t="n">
        <v>47124</v>
      </c>
      <c r="B880" s="0" t="inlineStr">
        <is>
          <t>十一月</t>
        </is>
      </c>
      <c r="C880" s="0" t="inlineStr">
        <is>
          <t>廿二</t>
        </is>
      </c>
    </row>
    <row r="881">
      <c r="A881" s="12" t="n">
        <v>47125</v>
      </c>
      <c r="B881" s="0" t="inlineStr">
        <is>
          <t>十一月</t>
        </is>
      </c>
      <c r="C881" s="0" t="inlineStr">
        <is>
          <t>廿三</t>
        </is>
      </c>
    </row>
    <row r="882">
      <c r="A882" s="12" t="n">
        <v>47126</v>
      </c>
      <c r="B882" s="0" t="inlineStr">
        <is>
          <t>十一月</t>
        </is>
      </c>
      <c r="C882" s="0" t="inlineStr">
        <is>
          <t>廿四</t>
        </is>
      </c>
    </row>
    <row r="883">
      <c r="A883" s="12" t="n">
        <v>47127</v>
      </c>
      <c r="B883" s="0" t="inlineStr">
        <is>
          <t>十一月</t>
        </is>
      </c>
      <c r="C883" s="0" t="inlineStr">
        <is>
          <t>廿五</t>
        </is>
      </c>
    </row>
    <row r="884">
      <c r="A884" s="12" t="n">
        <v>47128</v>
      </c>
      <c r="B884" s="0" t="inlineStr">
        <is>
          <t>十一月</t>
        </is>
      </c>
      <c r="C884" s="0" t="inlineStr">
        <is>
          <t>廿六</t>
        </is>
      </c>
    </row>
    <row r="885">
      <c r="A885" s="12" t="n">
        <v>47129</v>
      </c>
      <c r="B885" s="0" t="inlineStr">
        <is>
          <t>十一月</t>
        </is>
      </c>
      <c r="C885" s="0" t="inlineStr">
        <is>
          <t>廿七</t>
        </is>
      </c>
    </row>
    <row r="886">
      <c r="A886" s="12" t="n">
        <v>47130</v>
      </c>
      <c r="B886" s="0" t="inlineStr">
        <is>
          <t>十一月</t>
        </is>
      </c>
      <c r="C886" s="0" t="inlineStr">
        <is>
          <t>廿八</t>
        </is>
      </c>
    </row>
    <row r="887">
      <c r="A887" s="12" t="n">
        <v>47131</v>
      </c>
      <c r="B887" s="0" t="inlineStr">
        <is>
          <t>十一月</t>
        </is>
      </c>
      <c r="C887" s="0" t="inlineStr">
        <is>
          <t>廿九</t>
        </is>
      </c>
    </row>
    <row r="888">
      <c r="A888" s="12" t="n">
        <v>47132</v>
      </c>
      <c r="B888" s="0" t="inlineStr">
        <is>
          <t>十一月</t>
        </is>
      </c>
      <c r="C888" s="0" t="inlineStr">
        <is>
          <t>三十</t>
        </is>
      </c>
    </row>
    <row r="889">
      <c r="A889" s="12" t="n">
        <v>47133</v>
      </c>
      <c r="B889" s="0" t="inlineStr">
        <is>
          <t>十二月</t>
        </is>
      </c>
      <c r="C889" s="0" t="inlineStr">
        <is>
          <t>初一</t>
        </is>
      </c>
    </row>
    <row r="890">
      <c r="A890" s="12" t="n">
        <v>47134</v>
      </c>
      <c r="B890" s="0" t="inlineStr">
        <is>
          <t>十二月</t>
        </is>
      </c>
      <c r="C890" s="0" t="inlineStr">
        <is>
          <t>初二</t>
        </is>
      </c>
    </row>
    <row r="891">
      <c r="A891" s="12" t="n">
        <v>47135</v>
      </c>
      <c r="B891" s="0" t="inlineStr">
        <is>
          <t>十二月</t>
        </is>
      </c>
      <c r="C891" s="0" t="inlineStr">
        <is>
          <t>初三</t>
        </is>
      </c>
    </row>
    <row r="892">
      <c r="A892" s="12" t="n">
        <v>47136</v>
      </c>
      <c r="B892" s="0" t="inlineStr">
        <is>
          <t>十二月</t>
        </is>
      </c>
      <c r="C892" s="0" t="inlineStr">
        <is>
          <t>初四</t>
        </is>
      </c>
    </row>
    <row r="893">
      <c r="A893" s="12" t="n">
        <v>47137</v>
      </c>
      <c r="B893" s="0" t="inlineStr">
        <is>
          <t>十二月</t>
        </is>
      </c>
      <c r="C893" s="0" t="inlineStr">
        <is>
          <t>初五</t>
        </is>
      </c>
    </row>
    <row r="894">
      <c r="A894" s="12" t="n">
        <v>47138</v>
      </c>
      <c r="B894" s="0" t="inlineStr">
        <is>
          <t>十二月</t>
        </is>
      </c>
      <c r="C894" s="0" t="inlineStr">
        <is>
          <t>初六</t>
        </is>
      </c>
    </row>
    <row r="895">
      <c r="A895" s="12" t="n">
        <v>47139</v>
      </c>
      <c r="B895" s="0" t="inlineStr">
        <is>
          <t>十二月</t>
        </is>
      </c>
      <c r="C895" s="0" t="inlineStr">
        <is>
          <t>初七</t>
        </is>
      </c>
    </row>
    <row r="896">
      <c r="A896" s="12" t="n">
        <v>47140</v>
      </c>
      <c r="B896" s="0" t="inlineStr">
        <is>
          <t>十二月</t>
        </is>
      </c>
      <c r="C896" s="0" t="inlineStr">
        <is>
          <t>初八</t>
        </is>
      </c>
    </row>
    <row r="897">
      <c r="A897" s="12" t="n">
        <v>47141</v>
      </c>
      <c r="B897" s="0" t="inlineStr">
        <is>
          <t>十二月</t>
        </is>
      </c>
      <c r="C897" s="0" t="inlineStr">
        <is>
          <t>初九</t>
        </is>
      </c>
    </row>
    <row r="898">
      <c r="A898" s="12" t="n">
        <v>47142</v>
      </c>
      <c r="B898" s="0" t="inlineStr">
        <is>
          <t>十二月</t>
        </is>
      </c>
      <c r="C898" s="0" t="inlineStr">
        <is>
          <t>初十</t>
        </is>
      </c>
    </row>
    <row r="899">
      <c r="A899" s="12" t="n">
        <v>47143</v>
      </c>
      <c r="B899" s="0" t="inlineStr">
        <is>
          <t>十二月</t>
        </is>
      </c>
      <c r="C899" s="0" t="inlineStr">
        <is>
          <t>十一</t>
        </is>
      </c>
    </row>
    <row r="900">
      <c r="A900" s="12" t="n">
        <v>47144</v>
      </c>
      <c r="B900" s="0" t="inlineStr">
        <is>
          <t>十二月</t>
        </is>
      </c>
      <c r="C900" s="0" t="inlineStr">
        <is>
          <t>十二</t>
        </is>
      </c>
    </row>
    <row r="901">
      <c r="A901" s="12" t="n">
        <v>47145</v>
      </c>
      <c r="B901" s="0" t="inlineStr">
        <is>
          <t>十二月</t>
        </is>
      </c>
      <c r="C901" s="0" t="inlineStr">
        <is>
          <t>十三</t>
        </is>
      </c>
    </row>
    <row r="902">
      <c r="A902" s="12" t="n">
        <v>47146</v>
      </c>
      <c r="B902" s="0" t="inlineStr">
        <is>
          <t>十二月</t>
        </is>
      </c>
      <c r="C902" s="0" t="inlineStr">
        <is>
          <t>十四</t>
        </is>
      </c>
    </row>
    <row r="903">
      <c r="A903" s="12" t="n">
        <v>47147</v>
      </c>
      <c r="B903" s="0" t="inlineStr">
        <is>
          <t>十二月</t>
        </is>
      </c>
      <c r="C903" s="0" t="inlineStr">
        <is>
          <t>十五</t>
        </is>
      </c>
    </row>
    <row r="904">
      <c r="A904" s="12" t="n">
        <v>47148</v>
      </c>
      <c r="B904" s="0" t="inlineStr">
        <is>
          <t>十二月</t>
        </is>
      </c>
      <c r="C904" s="0" t="inlineStr">
        <is>
          <t>十六</t>
        </is>
      </c>
    </row>
    <row r="905">
      <c r="A905" s="12" t="n">
        <v>47149</v>
      </c>
      <c r="B905" s="0" t="inlineStr">
        <is>
          <t>十二月</t>
        </is>
      </c>
      <c r="C905" s="0" t="inlineStr">
        <is>
          <t>十七</t>
        </is>
      </c>
    </row>
    <row r="906">
      <c r="A906" s="12" t="n">
        <v>47150</v>
      </c>
      <c r="B906" s="0" t="inlineStr">
        <is>
          <t>十二月</t>
        </is>
      </c>
      <c r="C906" s="0" t="inlineStr">
        <is>
          <t>十八</t>
        </is>
      </c>
    </row>
    <row r="907">
      <c r="A907" s="12" t="n">
        <v>47151</v>
      </c>
      <c r="B907" s="0" t="inlineStr">
        <is>
          <t>十二月</t>
        </is>
      </c>
      <c r="C907" s="0" t="inlineStr">
        <is>
          <t>十九</t>
        </is>
      </c>
    </row>
    <row r="908">
      <c r="A908" s="12" t="n">
        <v>47152</v>
      </c>
      <c r="B908" s="0" t="inlineStr">
        <is>
          <t>十二月</t>
        </is>
      </c>
      <c r="C908" s="0" t="inlineStr">
        <is>
          <t>二十</t>
        </is>
      </c>
    </row>
    <row r="909">
      <c r="A909" s="12" t="n">
        <v>47153</v>
      </c>
      <c r="B909" s="0" t="inlineStr">
        <is>
          <t>十二月</t>
        </is>
      </c>
      <c r="C909" s="0" t="inlineStr">
        <is>
          <t>廿一</t>
        </is>
      </c>
    </row>
    <row r="910">
      <c r="A910" s="12" t="n">
        <v>47154</v>
      </c>
      <c r="B910" s="0" t="inlineStr">
        <is>
          <t>十二月</t>
        </is>
      </c>
      <c r="C910" s="0" t="inlineStr">
        <is>
          <t>廿二</t>
        </is>
      </c>
    </row>
    <row r="911">
      <c r="A911" s="12" t="n">
        <v>47155</v>
      </c>
      <c r="B911" s="0" t="inlineStr">
        <is>
          <t>十二月</t>
        </is>
      </c>
      <c r="C911" s="0" t="inlineStr">
        <is>
          <t>廿三</t>
        </is>
      </c>
    </row>
    <row r="912">
      <c r="A912" s="12" t="n">
        <v>47156</v>
      </c>
      <c r="B912" s="0" t="inlineStr">
        <is>
          <t>十二月</t>
        </is>
      </c>
      <c r="C912" s="0" t="inlineStr">
        <is>
          <t>廿四</t>
        </is>
      </c>
    </row>
    <row r="913">
      <c r="A913" s="12" t="n">
        <v>47157</v>
      </c>
      <c r="B913" s="0" t="inlineStr">
        <is>
          <t>十二月</t>
        </is>
      </c>
      <c r="C913" s="0" t="inlineStr">
        <is>
          <t>廿五</t>
        </is>
      </c>
    </row>
    <row r="914">
      <c r="A914" s="12" t="n">
        <v>47158</v>
      </c>
      <c r="B914" s="0" t="inlineStr">
        <is>
          <t>十二月</t>
        </is>
      </c>
      <c r="C914" s="0" t="inlineStr">
        <is>
          <t>廿六</t>
        </is>
      </c>
    </row>
    <row r="915">
      <c r="A915" s="12" t="n">
        <v>47159</v>
      </c>
      <c r="B915" s="0" t="inlineStr">
        <is>
          <t>十二月</t>
        </is>
      </c>
      <c r="C915" s="0" t="inlineStr">
        <is>
          <t>廿七</t>
        </is>
      </c>
    </row>
    <row r="916">
      <c r="A916" s="12" t="n">
        <v>47160</v>
      </c>
      <c r="B916" s="0" t="inlineStr">
        <is>
          <t>十二月</t>
        </is>
      </c>
      <c r="C916" s="0" t="inlineStr">
        <is>
          <t>廿八</t>
        </is>
      </c>
    </row>
    <row r="917">
      <c r="A917" s="12" t="n">
        <v>47161</v>
      </c>
      <c r="B917" s="0" t="inlineStr">
        <is>
          <t>十二月</t>
        </is>
      </c>
      <c r="C917" s="0" t="inlineStr">
        <is>
          <t>廿九</t>
        </is>
      </c>
    </row>
    <row r="918">
      <c r="A918" s="12" t="n">
        <v>47162</v>
      </c>
      <c r="B918" s="0" t="inlineStr">
        <is>
          <t>正月</t>
        </is>
      </c>
      <c r="C918" s="0" t="inlineStr">
        <is>
          <t>初一</t>
        </is>
      </c>
    </row>
    <row r="919">
      <c r="A919" s="12" t="n">
        <v>47163</v>
      </c>
      <c r="B919" s="0" t="inlineStr">
        <is>
          <t>正月</t>
        </is>
      </c>
      <c r="C919" s="0" t="inlineStr">
        <is>
          <t>初二</t>
        </is>
      </c>
    </row>
    <row r="920">
      <c r="A920" s="12" t="n">
        <v>47164</v>
      </c>
      <c r="B920" s="0" t="inlineStr">
        <is>
          <t>正月</t>
        </is>
      </c>
      <c r="C920" s="0" t="inlineStr">
        <is>
          <t>初三</t>
        </is>
      </c>
    </row>
    <row r="921">
      <c r="A921" s="12" t="n">
        <v>47165</v>
      </c>
      <c r="B921" s="0" t="inlineStr">
        <is>
          <t>正月</t>
        </is>
      </c>
      <c r="C921" s="0" t="inlineStr">
        <is>
          <t>初四</t>
        </is>
      </c>
    </row>
    <row r="922">
      <c r="A922" s="12" t="n">
        <v>47166</v>
      </c>
      <c r="B922" s="0" t="inlineStr">
        <is>
          <t>正月</t>
        </is>
      </c>
      <c r="C922" s="0" t="inlineStr">
        <is>
          <t>初五</t>
        </is>
      </c>
    </row>
    <row r="923">
      <c r="A923" s="12" t="n">
        <v>47167</v>
      </c>
      <c r="B923" s="0" t="inlineStr">
        <is>
          <t>正月</t>
        </is>
      </c>
      <c r="C923" s="0" t="inlineStr">
        <is>
          <t>初六</t>
        </is>
      </c>
    </row>
    <row r="924">
      <c r="A924" s="12" t="n">
        <v>47168</v>
      </c>
      <c r="B924" s="0" t="inlineStr">
        <is>
          <t>正月</t>
        </is>
      </c>
      <c r="C924" s="0" t="inlineStr">
        <is>
          <t>初七</t>
        </is>
      </c>
    </row>
    <row r="925">
      <c r="A925" s="12" t="n">
        <v>47169</v>
      </c>
      <c r="B925" s="0" t="inlineStr">
        <is>
          <t>正月</t>
        </is>
      </c>
      <c r="C925" s="0" t="inlineStr">
        <is>
          <t>初八</t>
        </is>
      </c>
    </row>
    <row r="926">
      <c r="A926" s="12" t="n">
        <v>47170</v>
      </c>
      <c r="B926" s="0" t="inlineStr">
        <is>
          <t>正月</t>
        </is>
      </c>
      <c r="C926" s="0" t="inlineStr">
        <is>
          <t>初九</t>
        </is>
      </c>
    </row>
    <row r="927">
      <c r="A927" s="12" t="n">
        <v>47171</v>
      </c>
      <c r="B927" s="0" t="inlineStr">
        <is>
          <t>正月</t>
        </is>
      </c>
      <c r="C927" s="0" t="inlineStr">
        <is>
          <t>初十</t>
        </is>
      </c>
    </row>
    <row r="928">
      <c r="A928" s="12" t="n">
        <v>47172</v>
      </c>
      <c r="B928" s="0" t="inlineStr">
        <is>
          <t>正月</t>
        </is>
      </c>
      <c r="C928" s="0" t="inlineStr">
        <is>
          <t>十一</t>
        </is>
      </c>
    </row>
    <row r="929">
      <c r="A929" s="12" t="n">
        <v>47173</v>
      </c>
      <c r="B929" s="0" t="inlineStr">
        <is>
          <t>正月</t>
        </is>
      </c>
      <c r="C929" s="0" t="inlineStr">
        <is>
          <t>十二</t>
        </is>
      </c>
    </row>
    <row r="930">
      <c r="A930" s="12" t="n">
        <v>47174</v>
      </c>
      <c r="B930" s="0" t="inlineStr">
        <is>
          <t>正月</t>
        </is>
      </c>
      <c r="C930" s="0" t="inlineStr">
        <is>
          <t>十三</t>
        </is>
      </c>
    </row>
    <row r="931">
      <c r="A931" s="12" t="n">
        <v>47175</v>
      </c>
      <c r="B931" s="0" t="inlineStr">
        <is>
          <t>正月</t>
        </is>
      </c>
      <c r="C931" s="0" t="inlineStr">
        <is>
          <t>十四</t>
        </is>
      </c>
    </row>
    <row r="932">
      <c r="A932" s="12" t="n">
        <v>47176</v>
      </c>
      <c r="B932" s="0" t="inlineStr">
        <is>
          <t>正月</t>
        </is>
      </c>
      <c r="C932" s="0" t="inlineStr">
        <is>
          <t>十五</t>
        </is>
      </c>
    </row>
    <row r="933">
      <c r="A933" s="12" t="n">
        <v>47177</v>
      </c>
      <c r="B933" s="0" t="inlineStr">
        <is>
          <t>正月</t>
        </is>
      </c>
      <c r="C933" s="0" t="inlineStr">
        <is>
          <t>十六</t>
        </is>
      </c>
    </row>
    <row r="934">
      <c r="A934" s="12" t="n">
        <v>47178</v>
      </c>
      <c r="B934" s="0" t="inlineStr">
        <is>
          <t>正月</t>
        </is>
      </c>
      <c r="C934" s="0" t="inlineStr">
        <is>
          <t>十七</t>
        </is>
      </c>
    </row>
    <row r="935">
      <c r="A935" s="12" t="n">
        <v>47179</v>
      </c>
      <c r="B935" s="0" t="inlineStr">
        <is>
          <t>正月</t>
        </is>
      </c>
      <c r="C935" s="0" t="inlineStr">
        <is>
          <t>十八</t>
        </is>
      </c>
    </row>
    <row r="936">
      <c r="A936" s="12" t="n">
        <v>47180</v>
      </c>
      <c r="B936" s="0" t="inlineStr">
        <is>
          <t>正月</t>
        </is>
      </c>
      <c r="C936" s="0" t="inlineStr">
        <is>
          <t>十九</t>
        </is>
      </c>
    </row>
    <row r="937">
      <c r="A937" s="12" t="n">
        <v>47181</v>
      </c>
      <c r="B937" s="0" t="inlineStr">
        <is>
          <t>正月</t>
        </is>
      </c>
      <c r="C937" s="0" t="inlineStr">
        <is>
          <t>二十</t>
        </is>
      </c>
    </row>
    <row r="938">
      <c r="A938" s="12" t="n">
        <v>47182</v>
      </c>
      <c r="B938" s="0" t="inlineStr">
        <is>
          <t>正月</t>
        </is>
      </c>
      <c r="C938" s="0" t="inlineStr">
        <is>
          <t>廿一</t>
        </is>
      </c>
    </row>
    <row r="939">
      <c r="A939" s="12" t="n">
        <v>47183</v>
      </c>
      <c r="B939" s="0" t="inlineStr">
        <is>
          <t>正月</t>
        </is>
      </c>
      <c r="C939" s="0" t="inlineStr">
        <is>
          <t>廿二</t>
        </is>
      </c>
    </row>
    <row r="940">
      <c r="A940" s="12" t="n">
        <v>47184</v>
      </c>
      <c r="B940" s="0" t="inlineStr">
        <is>
          <t>正月</t>
        </is>
      </c>
      <c r="C940" s="0" t="inlineStr">
        <is>
          <t>廿三</t>
        </is>
      </c>
    </row>
    <row r="941">
      <c r="A941" s="12" t="n">
        <v>47185</v>
      </c>
      <c r="B941" s="0" t="inlineStr">
        <is>
          <t>正月</t>
        </is>
      </c>
      <c r="C941" s="0" t="inlineStr">
        <is>
          <t>廿四</t>
        </is>
      </c>
    </row>
    <row r="942">
      <c r="A942" s="12" t="n">
        <v>47186</v>
      </c>
      <c r="B942" s="0" t="inlineStr">
        <is>
          <t>正月</t>
        </is>
      </c>
      <c r="C942" s="0" t="inlineStr">
        <is>
          <t>廿五</t>
        </is>
      </c>
    </row>
    <row r="943">
      <c r="A943" s="12" t="n">
        <v>47187</v>
      </c>
      <c r="B943" s="0" t="inlineStr">
        <is>
          <t>正月</t>
        </is>
      </c>
      <c r="C943" s="0" t="inlineStr">
        <is>
          <t>廿六</t>
        </is>
      </c>
    </row>
    <row r="944">
      <c r="A944" s="12" t="n">
        <v>47188</v>
      </c>
      <c r="B944" s="0" t="inlineStr">
        <is>
          <t>正月</t>
        </is>
      </c>
      <c r="C944" s="0" t="inlineStr">
        <is>
          <t>廿七</t>
        </is>
      </c>
    </row>
    <row r="945">
      <c r="A945" s="12" t="n">
        <v>47189</v>
      </c>
      <c r="B945" s="0" t="inlineStr">
        <is>
          <t>正月</t>
        </is>
      </c>
      <c r="C945" s="0" t="inlineStr">
        <is>
          <t>廿八</t>
        </is>
      </c>
    </row>
    <row r="946">
      <c r="A946" s="12" t="n">
        <v>47190</v>
      </c>
      <c r="B946" s="0" t="inlineStr">
        <is>
          <t>正月</t>
        </is>
      </c>
      <c r="C946" s="0" t="inlineStr">
        <is>
          <t>廿九</t>
        </is>
      </c>
    </row>
    <row r="947">
      <c r="A947" s="12" t="n">
        <v>47191</v>
      </c>
      <c r="B947" s="0" t="inlineStr">
        <is>
          <t>正月</t>
        </is>
      </c>
      <c r="C947" s="0" t="inlineStr">
        <is>
          <t>三十</t>
        </is>
      </c>
    </row>
    <row r="948">
      <c r="A948" s="12" t="n">
        <v>47192</v>
      </c>
      <c r="B948" s="0" t="inlineStr">
        <is>
          <t>二月</t>
        </is>
      </c>
      <c r="C948" s="0" t="inlineStr">
        <is>
          <t>初一</t>
        </is>
      </c>
    </row>
    <row r="949">
      <c r="A949" s="12" t="n">
        <v>47193</v>
      </c>
      <c r="B949" s="0" t="inlineStr">
        <is>
          <t>二月</t>
        </is>
      </c>
      <c r="C949" s="0" t="inlineStr">
        <is>
          <t>初二</t>
        </is>
      </c>
    </row>
    <row r="950">
      <c r="A950" s="12" t="n">
        <v>47194</v>
      </c>
      <c r="B950" s="0" t="inlineStr">
        <is>
          <t>二月</t>
        </is>
      </c>
      <c r="C950" s="0" t="inlineStr">
        <is>
          <t>初三</t>
        </is>
      </c>
    </row>
    <row r="951">
      <c r="A951" s="12" t="n">
        <v>47195</v>
      </c>
      <c r="B951" s="0" t="inlineStr">
        <is>
          <t>二月</t>
        </is>
      </c>
      <c r="C951" s="0" t="inlineStr">
        <is>
          <t>初四</t>
        </is>
      </c>
    </row>
    <row r="952">
      <c r="A952" s="12" t="n">
        <v>47196</v>
      </c>
      <c r="B952" s="0" t="inlineStr">
        <is>
          <t>二月</t>
        </is>
      </c>
      <c r="C952" s="0" t="inlineStr">
        <is>
          <t>初五</t>
        </is>
      </c>
    </row>
    <row r="953">
      <c r="A953" s="12" t="n">
        <v>47197</v>
      </c>
      <c r="B953" s="0" t="inlineStr">
        <is>
          <t>二月</t>
        </is>
      </c>
      <c r="C953" s="0" t="inlineStr">
        <is>
          <t>初六</t>
        </is>
      </c>
    </row>
    <row r="954">
      <c r="A954" s="12" t="n">
        <v>47198</v>
      </c>
      <c r="B954" s="0" t="inlineStr">
        <is>
          <t>二月</t>
        </is>
      </c>
      <c r="C954" s="0" t="inlineStr">
        <is>
          <t>初七</t>
        </is>
      </c>
    </row>
    <row r="955">
      <c r="A955" s="12" t="n">
        <v>47199</v>
      </c>
      <c r="B955" s="0" t="inlineStr">
        <is>
          <t>二月</t>
        </is>
      </c>
      <c r="C955" s="0" t="inlineStr">
        <is>
          <t>初八</t>
        </is>
      </c>
    </row>
    <row r="956">
      <c r="A956" s="12" t="n">
        <v>47200</v>
      </c>
      <c r="B956" s="0" t="inlineStr">
        <is>
          <t>二月</t>
        </is>
      </c>
      <c r="C956" s="0" t="inlineStr">
        <is>
          <t>初九</t>
        </is>
      </c>
    </row>
    <row r="957">
      <c r="A957" s="12" t="n">
        <v>47201</v>
      </c>
      <c r="B957" s="0" t="inlineStr">
        <is>
          <t>二月</t>
        </is>
      </c>
      <c r="C957" s="0" t="inlineStr">
        <is>
          <t>初十</t>
        </is>
      </c>
    </row>
    <row r="958">
      <c r="A958" s="12" t="n">
        <v>47202</v>
      </c>
      <c r="B958" s="0" t="inlineStr">
        <is>
          <t>二月</t>
        </is>
      </c>
      <c r="C958" s="0" t="inlineStr">
        <is>
          <t>十一</t>
        </is>
      </c>
    </row>
    <row r="959">
      <c r="A959" s="12" t="n">
        <v>47203</v>
      </c>
      <c r="B959" s="0" t="inlineStr">
        <is>
          <t>二月</t>
        </is>
      </c>
      <c r="C959" s="0" t="inlineStr">
        <is>
          <t>十二</t>
        </is>
      </c>
    </row>
    <row r="960">
      <c r="A960" s="12" t="n">
        <v>47204</v>
      </c>
      <c r="B960" s="0" t="inlineStr">
        <is>
          <t>二月</t>
        </is>
      </c>
      <c r="C960" s="0" t="inlineStr">
        <is>
          <t>十三</t>
        </is>
      </c>
    </row>
    <row r="961">
      <c r="A961" s="12" t="n">
        <v>47205</v>
      </c>
      <c r="B961" s="0" t="inlineStr">
        <is>
          <t>二月</t>
        </is>
      </c>
      <c r="C961" s="0" t="inlineStr">
        <is>
          <t>十四</t>
        </is>
      </c>
    </row>
    <row r="962">
      <c r="A962" s="12" t="n">
        <v>47206</v>
      </c>
      <c r="B962" s="0" t="inlineStr">
        <is>
          <t>二月</t>
        </is>
      </c>
      <c r="C962" s="0" t="inlineStr">
        <is>
          <t>十五</t>
        </is>
      </c>
    </row>
    <row r="963">
      <c r="A963" s="12" t="n">
        <v>47207</v>
      </c>
      <c r="B963" s="0" t="inlineStr">
        <is>
          <t>二月</t>
        </is>
      </c>
      <c r="C963" s="0" t="inlineStr">
        <is>
          <t>十六</t>
        </is>
      </c>
    </row>
    <row r="964">
      <c r="A964" s="12" t="n">
        <v>47208</v>
      </c>
      <c r="B964" s="0" t="inlineStr">
        <is>
          <t>二月</t>
        </is>
      </c>
      <c r="C964" s="0" t="inlineStr">
        <is>
          <t>十七</t>
        </is>
      </c>
    </row>
    <row r="965">
      <c r="A965" s="12" t="n">
        <v>47209</v>
      </c>
      <c r="B965" s="0" t="inlineStr">
        <is>
          <t>二月</t>
        </is>
      </c>
      <c r="C965" s="0" t="inlineStr">
        <is>
          <t>十八</t>
        </is>
      </c>
    </row>
    <row r="966">
      <c r="A966" s="12" t="n">
        <v>47210</v>
      </c>
      <c r="B966" s="0" t="inlineStr">
        <is>
          <t>二月</t>
        </is>
      </c>
      <c r="C966" s="0" t="inlineStr">
        <is>
          <t>十九</t>
        </is>
      </c>
    </row>
    <row r="967">
      <c r="A967" s="12" t="n">
        <v>47211</v>
      </c>
      <c r="B967" s="0" t="inlineStr">
        <is>
          <t>二月</t>
        </is>
      </c>
      <c r="C967" s="0" t="inlineStr">
        <is>
          <t>二十</t>
        </is>
      </c>
    </row>
    <row r="968">
      <c r="A968" s="12" t="n">
        <v>47212</v>
      </c>
      <c r="B968" s="0" t="inlineStr">
        <is>
          <t>二月</t>
        </is>
      </c>
      <c r="C968" s="0" t="inlineStr">
        <is>
          <t>廿一</t>
        </is>
      </c>
    </row>
    <row r="969">
      <c r="A969" s="12" t="n">
        <v>47213</v>
      </c>
      <c r="B969" s="0" t="inlineStr">
        <is>
          <t>二月</t>
        </is>
      </c>
      <c r="C969" s="0" t="inlineStr">
        <is>
          <t>廿二</t>
        </is>
      </c>
    </row>
    <row r="970">
      <c r="A970" s="12" t="n">
        <v>47214</v>
      </c>
      <c r="B970" s="0" t="inlineStr">
        <is>
          <t>二月</t>
        </is>
      </c>
      <c r="C970" s="0" t="inlineStr">
        <is>
          <t>廿三</t>
        </is>
      </c>
    </row>
    <row r="971">
      <c r="A971" s="12" t="n">
        <v>47215</v>
      </c>
      <c r="B971" s="0" t="inlineStr">
        <is>
          <t>二月</t>
        </is>
      </c>
      <c r="C971" s="0" t="inlineStr">
        <is>
          <t>廿四</t>
        </is>
      </c>
    </row>
    <row r="972">
      <c r="A972" s="12" t="n">
        <v>47216</v>
      </c>
      <c r="B972" s="0" t="inlineStr">
        <is>
          <t>二月</t>
        </is>
      </c>
      <c r="C972" s="0" t="inlineStr">
        <is>
          <t>廿五</t>
        </is>
      </c>
    </row>
    <row r="973">
      <c r="A973" s="12" t="n">
        <v>47217</v>
      </c>
      <c r="B973" s="0" t="inlineStr">
        <is>
          <t>二月</t>
        </is>
      </c>
      <c r="C973" s="0" t="inlineStr">
        <is>
          <t>廿六</t>
        </is>
      </c>
    </row>
    <row r="974">
      <c r="A974" s="12" t="n">
        <v>47218</v>
      </c>
      <c r="B974" s="0" t="inlineStr">
        <is>
          <t>二月</t>
        </is>
      </c>
      <c r="C974" s="0" t="inlineStr">
        <is>
          <t>廿七</t>
        </is>
      </c>
    </row>
    <row r="975">
      <c r="A975" s="12" t="n">
        <v>47219</v>
      </c>
      <c r="B975" s="0" t="inlineStr">
        <is>
          <t>二月</t>
        </is>
      </c>
      <c r="C975" s="0" t="inlineStr">
        <is>
          <t>廿八</t>
        </is>
      </c>
    </row>
    <row r="976">
      <c r="A976" s="12" t="n">
        <v>47220</v>
      </c>
      <c r="B976" s="0" t="inlineStr">
        <is>
          <t>二月</t>
        </is>
      </c>
      <c r="C976" s="0" t="inlineStr">
        <is>
          <t>廿九</t>
        </is>
      </c>
    </row>
    <row r="977">
      <c r="A977" s="12" t="n">
        <v>47221</v>
      </c>
      <c r="B977" s="0" t="inlineStr">
        <is>
          <t>二月</t>
        </is>
      </c>
      <c r="C977" s="0" t="inlineStr">
        <is>
          <t>三十</t>
        </is>
      </c>
    </row>
    <row r="978">
      <c r="A978" s="12" t="n">
        <v>47222</v>
      </c>
      <c r="B978" s="0" t="inlineStr">
        <is>
          <t>三月</t>
        </is>
      </c>
      <c r="C978" s="0" t="inlineStr">
        <is>
          <t>初一</t>
        </is>
      </c>
    </row>
    <row r="979">
      <c r="A979" s="12" t="n">
        <v>47223</v>
      </c>
      <c r="B979" s="0" t="inlineStr">
        <is>
          <t>三月</t>
        </is>
      </c>
      <c r="C979" s="0" t="inlineStr">
        <is>
          <t>初二</t>
        </is>
      </c>
    </row>
    <row r="980">
      <c r="A980" s="12" t="n">
        <v>47224</v>
      </c>
      <c r="B980" s="0" t="inlineStr">
        <is>
          <t>三月</t>
        </is>
      </c>
      <c r="C980" s="0" t="inlineStr">
        <is>
          <t>初三</t>
        </is>
      </c>
    </row>
    <row r="981">
      <c r="A981" s="12" t="n">
        <v>47225</v>
      </c>
      <c r="B981" s="0" t="inlineStr">
        <is>
          <t>三月</t>
        </is>
      </c>
      <c r="C981" s="0" t="inlineStr">
        <is>
          <t>初四</t>
        </is>
      </c>
    </row>
    <row r="982">
      <c r="A982" s="12" t="n">
        <v>47226</v>
      </c>
      <c r="B982" s="0" t="inlineStr">
        <is>
          <t>三月</t>
        </is>
      </c>
      <c r="C982" s="0" t="inlineStr">
        <is>
          <t>初五</t>
        </is>
      </c>
    </row>
    <row r="983">
      <c r="A983" s="12" t="n">
        <v>47227</v>
      </c>
      <c r="B983" s="0" t="inlineStr">
        <is>
          <t>三月</t>
        </is>
      </c>
      <c r="C983" s="0" t="inlineStr">
        <is>
          <t>初六</t>
        </is>
      </c>
    </row>
    <row r="984">
      <c r="A984" s="12" t="n">
        <v>47228</v>
      </c>
      <c r="B984" s="0" t="inlineStr">
        <is>
          <t>三月</t>
        </is>
      </c>
      <c r="C984" s="0" t="inlineStr">
        <is>
          <t>初七</t>
        </is>
      </c>
    </row>
    <row r="985">
      <c r="A985" s="12" t="n">
        <v>47229</v>
      </c>
      <c r="B985" s="0" t="inlineStr">
        <is>
          <t>三月</t>
        </is>
      </c>
      <c r="C985" s="0" t="inlineStr">
        <is>
          <t>初八</t>
        </is>
      </c>
    </row>
    <row r="986">
      <c r="A986" s="12" t="n">
        <v>47230</v>
      </c>
      <c r="B986" s="0" t="inlineStr">
        <is>
          <t>三月</t>
        </is>
      </c>
      <c r="C986" s="0" t="inlineStr">
        <is>
          <t>初九</t>
        </is>
      </c>
    </row>
    <row r="987">
      <c r="A987" s="12" t="n">
        <v>47231</v>
      </c>
      <c r="B987" s="0" t="inlineStr">
        <is>
          <t>三月</t>
        </is>
      </c>
      <c r="C987" s="0" t="inlineStr">
        <is>
          <t>初十</t>
        </is>
      </c>
    </row>
    <row r="988">
      <c r="A988" s="12" t="n">
        <v>47232</v>
      </c>
      <c r="B988" s="0" t="inlineStr">
        <is>
          <t>三月</t>
        </is>
      </c>
      <c r="C988" s="0" t="inlineStr">
        <is>
          <t>十一</t>
        </is>
      </c>
    </row>
    <row r="989">
      <c r="A989" s="12" t="n">
        <v>47233</v>
      </c>
      <c r="B989" s="0" t="inlineStr">
        <is>
          <t>三月</t>
        </is>
      </c>
      <c r="C989" s="0" t="inlineStr">
        <is>
          <t>十二</t>
        </is>
      </c>
    </row>
    <row r="990">
      <c r="A990" s="12" t="n">
        <v>47234</v>
      </c>
      <c r="B990" s="0" t="inlineStr">
        <is>
          <t>三月</t>
        </is>
      </c>
      <c r="C990" s="0" t="inlineStr">
        <is>
          <t>十三</t>
        </is>
      </c>
    </row>
    <row r="991">
      <c r="A991" s="12" t="n">
        <v>47235</v>
      </c>
      <c r="B991" s="0" t="inlineStr">
        <is>
          <t>三月</t>
        </is>
      </c>
      <c r="C991" s="0" t="inlineStr">
        <is>
          <t>十四</t>
        </is>
      </c>
    </row>
    <row r="992">
      <c r="A992" s="12" t="n">
        <v>47236</v>
      </c>
      <c r="B992" s="0" t="inlineStr">
        <is>
          <t>三月</t>
        </is>
      </c>
      <c r="C992" s="0" t="inlineStr">
        <is>
          <t>十五</t>
        </is>
      </c>
    </row>
    <row r="993">
      <c r="A993" s="12" t="n">
        <v>47237</v>
      </c>
      <c r="B993" s="0" t="inlineStr">
        <is>
          <t>三月</t>
        </is>
      </c>
      <c r="C993" s="0" t="inlineStr">
        <is>
          <t>十六</t>
        </is>
      </c>
    </row>
    <row r="994">
      <c r="A994" s="12" t="n">
        <v>47238</v>
      </c>
      <c r="B994" s="0" t="inlineStr">
        <is>
          <t>三月</t>
        </is>
      </c>
      <c r="C994" s="0" t="inlineStr">
        <is>
          <t>十七</t>
        </is>
      </c>
    </row>
    <row r="995">
      <c r="A995" s="12" t="n">
        <v>47239</v>
      </c>
      <c r="B995" s="0" t="inlineStr">
        <is>
          <t>三月</t>
        </is>
      </c>
      <c r="C995" s="0" t="inlineStr">
        <is>
          <t>十八</t>
        </is>
      </c>
    </row>
    <row r="996">
      <c r="A996" s="12" t="n">
        <v>47240</v>
      </c>
      <c r="B996" s="0" t="inlineStr">
        <is>
          <t>三月</t>
        </is>
      </c>
      <c r="C996" s="0" t="inlineStr">
        <is>
          <t>十九</t>
        </is>
      </c>
    </row>
    <row r="997">
      <c r="A997" s="12" t="n">
        <v>47241</v>
      </c>
      <c r="B997" s="0" t="inlineStr">
        <is>
          <t>三月</t>
        </is>
      </c>
      <c r="C997" s="0" t="inlineStr">
        <is>
          <t>二十</t>
        </is>
      </c>
    </row>
    <row r="998">
      <c r="A998" s="12" t="n">
        <v>47242</v>
      </c>
      <c r="B998" s="0" t="inlineStr">
        <is>
          <t>三月</t>
        </is>
      </c>
      <c r="C998" s="0" t="inlineStr">
        <is>
          <t>廿一</t>
        </is>
      </c>
    </row>
    <row r="999">
      <c r="A999" s="12" t="n">
        <v>47243</v>
      </c>
      <c r="B999" s="0" t="inlineStr">
        <is>
          <t>三月</t>
        </is>
      </c>
      <c r="C999" s="0" t="inlineStr">
        <is>
          <t>廿二</t>
        </is>
      </c>
    </row>
    <row r="1000">
      <c r="A1000" s="12" t="n">
        <v>47244</v>
      </c>
      <c r="B1000" s="0" t="inlineStr">
        <is>
          <t>三月</t>
        </is>
      </c>
      <c r="C1000" s="0" t="inlineStr">
        <is>
          <t>廿三</t>
        </is>
      </c>
    </row>
    <row r="1001">
      <c r="A1001" s="12" t="n">
        <v>47245</v>
      </c>
      <c r="B1001" s="0" t="inlineStr">
        <is>
          <t>三月</t>
        </is>
      </c>
      <c r="C1001" s="0" t="inlineStr">
        <is>
          <t>廿四</t>
        </is>
      </c>
    </row>
    <row r="1002">
      <c r="A1002" s="12" t="n">
        <v>47246</v>
      </c>
      <c r="B1002" s="0" t="inlineStr">
        <is>
          <t>三月</t>
        </is>
      </c>
      <c r="C1002" s="0" t="inlineStr">
        <is>
          <t>廿五</t>
        </is>
      </c>
    </row>
    <row r="1003">
      <c r="A1003" s="12" t="n">
        <v>47247</v>
      </c>
      <c r="B1003" s="0" t="inlineStr">
        <is>
          <t>三月</t>
        </is>
      </c>
      <c r="C1003" s="0" t="inlineStr">
        <is>
          <t>廿六</t>
        </is>
      </c>
    </row>
    <row r="1004">
      <c r="A1004" s="12" t="n">
        <v>47248</v>
      </c>
      <c r="B1004" s="0" t="inlineStr">
        <is>
          <t>三月</t>
        </is>
      </c>
      <c r="C1004" s="0" t="inlineStr">
        <is>
          <t>廿七</t>
        </is>
      </c>
    </row>
    <row r="1005">
      <c r="A1005" s="12" t="n">
        <v>47249</v>
      </c>
      <c r="B1005" s="0" t="inlineStr">
        <is>
          <t>三月</t>
        </is>
      </c>
      <c r="C1005" s="0" t="inlineStr">
        <is>
          <t>廿八</t>
        </is>
      </c>
    </row>
    <row r="1006">
      <c r="A1006" s="12" t="n">
        <v>47250</v>
      </c>
      <c r="B1006" s="0" t="inlineStr">
        <is>
          <t>三月</t>
        </is>
      </c>
      <c r="C1006" s="0" t="inlineStr">
        <is>
          <t>廿九</t>
        </is>
      </c>
    </row>
    <row r="1007">
      <c r="A1007" s="12" t="n">
        <v>47251</v>
      </c>
      <c r="B1007" s="0" t="inlineStr">
        <is>
          <t>四月</t>
        </is>
      </c>
      <c r="C1007" s="0" t="inlineStr">
        <is>
          <t>初一</t>
        </is>
      </c>
    </row>
    <row r="1008">
      <c r="A1008" s="12" t="n">
        <v>47252</v>
      </c>
      <c r="B1008" s="0" t="inlineStr">
        <is>
          <t>四月</t>
        </is>
      </c>
      <c r="C1008" s="0" t="inlineStr">
        <is>
          <t>初二</t>
        </is>
      </c>
    </row>
    <row r="1009">
      <c r="A1009" s="12" t="n">
        <v>47253</v>
      </c>
      <c r="B1009" s="0" t="inlineStr">
        <is>
          <t>四月</t>
        </is>
      </c>
      <c r="C1009" s="0" t="inlineStr">
        <is>
          <t>初三</t>
        </is>
      </c>
    </row>
    <row r="1010">
      <c r="A1010" s="12" t="n">
        <v>47254</v>
      </c>
      <c r="B1010" s="0" t="inlineStr">
        <is>
          <t>四月</t>
        </is>
      </c>
      <c r="C1010" s="0" t="inlineStr">
        <is>
          <t>初四</t>
        </is>
      </c>
    </row>
    <row r="1011">
      <c r="A1011" s="12" t="n">
        <v>47255</v>
      </c>
      <c r="B1011" s="0" t="inlineStr">
        <is>
          <t>四月</t>
        </is>
      </c>
      <c r="C1011" s="0" t="inlineStr">
        <is>
          <t>初五</t>
        </is>
      </c>
    </row>
    <row r="1012">
      <c r="A1012" s="12" t="n">
        <v>47256</v>
      </c>
      <c r="B1012" s="0" t="inlineStr">
        <is>
          <t>四月</t>
        </is>
      </c>
      <c r="C1012" s="0" t="inlineStr">
        <is>
          <t>初六</t>
        </is>
      </c>
    </row>
    <row r="1013">
      <c r="A1013" s="12" t="n">
        <v>47257</v>
      </c>
      <c r="B1013" s="0" t="inlineStr">
        <is>
          <t>四月</t>
        </is>
      </c>
      <c r="C1013" s="0" t="inlineStr">
        <is>
          <t>初七</t>
        </is>
      </c>
    </row>
    <row r="1014">
      <c r="A1014" s="12" t="n">
        <v>47258</v>
      </c>
      <c r="B1014" s="0" t="inlineStr">
        <is>
          <t>四月</t>
        </is>
      </c>
      <c r="C1014" s="0" t="inlineStr">
        <is>
          <t>初八</t>
        </is>
      </c>
    </row>
    <row r="1015">
      <c r="A1015" s="12" t="n">
        <v>47259</v>
      </c>
      <c r="B1015" s="0" t="inlineStr">
        <is>
          <t>四月</t>
        </is>
      </c>
      <c r="C1015" s="0" t="inlineStr">
        <is>
          <t>初九</t>
        </is>
      </c>
    </row>
    <row r="1016">
      <c r="A1016" s="12" t="n">
        <v>47260</v>
      </c>
      <c r="B1016" s="0" t="inlineStr">
        <is>
          <t>四月</t>
        </is>
      </c>
      <c r="C1016" s="0" t="inlineStr">
        <is>
          <t>初十</t>
        </is>
      </c>
    </row>
    <row r="1017">
      <c r="A1017" s="12" t="n">
        <v>47261</v>
      </c>
      <c r="B1017" s="0" t="inlineStr">
        <is>
          <t>四月</t>
        </is>
      </c>
      <c r="C1017" s="0" t="inlineStr">
        <is>
          <t>十一</t>
        </is>
      </c>
    </row>
    <row r="1018">
      <c r="A1018" s="12" t="n">
        <v>47262</v>
      </c>
      <c r="B1018" s="0" t="inlineStr">
        <is>
          <t>四月</t>
        </is>
      </c>
      <c r="C1018" s="0" t="inlineStr">
        <is>
          <t>十二</t>
        </is>
      </c>
    </row>
    <row r="1019">
      <c r="A1019" s="12" t="n">
        <v>47263</v>
      </c>
      <c r="B1019" s="0" t="inlineStr">
        <is>
          <t>四月</t>
        </is>
      </c>
      <c r="C1019" s="0" t="inlineStr">
        <is>
          <t>十三</t>
        </is>
      </c>
    </row>
    <row r="1020">
      <c r="A1020" s="12" t="n">
        <v>47264</v>
      </c>
      <c r="B1020" s="0" t="inlineStr">
        <is>
          <t>四月</t>
        </is>
      </c>
      <c r="C1020" s="0" t="inlineStr">
        <is>
          <t>十四</t>
        </is>
      </c>
    </row>
    <row r="1021">
      <c r="A1021" s="12" t="n">
        <v>47265</v>
      </c>
      <c r="B1021" s="0" t="inlineStr">
        <is>
          <t>四月</t>
        </is>
      </c>
      <c r="C1021" s="0" t="inlineStr">
        <is>
          <t>十五</t>
        </is>
      </c>
    </row>
    <row r="1022">
      <c r="A1022" s="12" t="n">
        <v>47266</v>
      </c>
      <c r="B1022" s="0" t="inlineStr">
        <is>
          <t>四月</t>
        </is>
      </c>
      <c r="C1022" s="0" t="inlineStr">
        <is>
          <t>十六</t>
        </is>
      </c>
    </row>
    <row r="1023">
      <c r="A1023" s="12" t="n">
        <v>47267</v>
      </c>
      <c r="B1023" s="0" t="inlineStr">
        <is>
          <t>四月</t>
        </is>
      </c>
      <c r="C1023" s="0" t="inlineStr">
        <is>
          <t>十七</t>
        </is>
      </c>
    </row>
    <row r="1024">
      <c r="A1024" s="12" t="n">
        <v>47268</v>
      </c>
      <c r="B1024" s="0" t="inlineStr">
        <is>
          <t>四月</t>
        </is>
      </c>
      <c r="C1024" s="0" t="inlineStr">
        <is>
          <t>十八</t>
        </is>
      </c>
    </row>
    <row r="1025">
      <c r="A1025" s="12" t="n">
        <v>47269</v>
      </c>
      <c r="B1025" s="0" t="inlineStr">
        <is>
          <t>四月</t>
        </is>
      </c>
      <c r="C1025" s="0" t="inlineStr">
        <is>
          <t>十九</t>
        </is>
      </c>
    </row>
    <row r="1026">
      <c r="A1026" s="12" t="n">
        <v>47270</v>
      </c>
      <c r="B1026" s="0" t="inlineStr">
        <is>
          <t>四月</t>
        </is>
      </c>
      <c r="C1026" s="0" t="inlineStr">
        <is>
          <t>二十</t>
        </is>
      </c>
    </row>
    <row r="1027">
      <c r="A1027" s="12" t="n">
        <v>47271</v>
      </c>
      <c r="B1027" s="0" t="inlineStr">
        <is>
          <t>四月</t>
        </is>
      </c>
      <c r="C1027" s="0" t="inlineStr">
        <is>
          <t>廿一</t>
        </is>
      </c>
    </row>
    <row r="1028">
      <c r="A1028" s="12" t="n">
        <v>47272</v>
      </c>
      <c r="B1028" s="0" t="inlineStr">
        <is>
          <t>四月</t>
        </is>
      </c>
      <c r="C1028" s="0" t="inlineStr">
        <is>
          <t>廿二</t>
        </is>
      </c>
    </row>
    <row r="1029">
      <c r="A1029" s="12" t="n">
        <v>47273</v>
      </c>
      <c r="B1029" s="0" t="inlineStr">
        <is>
          <t>四月</t>
        </is>
      </c>
      <c r="C1029" s="0" t="inlineStr">
        <is>
          <t>廿三</t>
        </is>
      </c>
    </row>
    <row r="1030">
      <c r="A1030" s="12" t="n">
        <v>47274</v>
      </c>
      <c r="B1030" s="0" t="inlineStr">
        <is>
          <t>四月</t>
        </is>
      </c>
      <c r="C1030" s="0" t="inlineStr">
        <is>
          <t>廿四</t>
        </is>
      </c>
    </row>
    <row r="1031">
      <c r="A1031" s="12" t="n">
        <v>47275</v>
      </c>
      <c r="B1031" s="0" t="inlineStr">
        <is>
          <t>四月</t>
        </is>
      </c>
      <c r="C1031" s="0" t="inlineStr">
        <is>
          <t>廿五</t>
        </is>
      </c>
    </row>
    <row r="1032">
      <c r="A1032" s="12" t="n">
        <v>47276</v>
      </c>
      <c r="B1032" s="0" t="inlineStr">
        <is>
          <t>四月</t>
        </is>
      </c>
      <c r="C1032" s="0" t="inlineStr">
        <is>
          <t>廿六</t>
        </is>
      </c>
    </row>
    <row r="1033">
      <c r="A1033" s="12" t="n">
        <v>47277</v>
      </c>
      <c r="B1033" s="0" t="inlineStr">
        <is>
          <t>四月</t>
        </is>
      </c>
      <c r="C1033" s="0" t="inlineStr">
        <is>
          <t>廿七</t>
        </is>
      </c>
    </row>
    <row r="1034">
      <c r="A1034" s="12" t="n">
        <v>47278</v>
      </c>
      <c r="B1034" s="0" t="inlineStr">
        <is>
          <t>四月</t>
        </is>
      </c>
      <c r="C1034" s="0" t="inlineStr">
        <is>
          <t>廿八</t>
        </is>
      </c>
    </row>
    <row r="1035">
      <c r="A1035" s="12" t="n">
        <v>47279</v>
      </c>
      <c r="B1035" s="0" t="inlineStr">
        <is>
          <t>四月</t>
        </is>
      </c>
      <c r="C1035" s="0" t="inlineStr">
        <is>
          <t>廿九</t>
        </is>
      </c>
    </row>
    <row r="1036">
      <c r="A1036" s="12" t="n">
        <v>47280</v>
      </c>
      <c r="B1036" s="0" t="inlineStr">
        <is>
          <t>四月</t>
        </is>
      </c>
      <c r="C1036" s="0" t="inlineStr">
        <is>
          <t>三十</t>
        </is>
      </c>
    </row>
    <row r="1037">
      <c r="A1037" s="12" t="n">
        <v>47281</v>
      </c>
      <c r="B1037" s="0" t="inlineStr">
        <is>
          <t>五月</t>
        </is>
      </c>
      <c r="C1037" s="0" t="inlineStr">
        <is>
          <t>初一</t>
        </is>
      </c>
    </row>
    <row r="1038">
      <c r="A1038" s="12" t="n">
        <v>47282</v>
      </c>
      <c r="B1038" s="0" t="inlineStr">
        <is>
          <t>五月</t>
        </is>
      </c>
      <c r="C1038" s="0" t="inlineStr">
        <is>
          <t>初二</t>
        </is>
      </c>
    </row>
    <row r="1039">
      <c r="A1039" s="12" t="n">
        <v>47283</v>
      </c>
      <c r="B1039" s="0" t="inlineStr">
        <is>
          <t>五月</t>
        </is>
      </c>
      <c r="C1039" s="0" t="inlineStr">
        <is>
          <t>初三</t>
        </is>
      </c>
    </row>
    <row r="1040">
      <c r="A1040" s="12" t="n">
        <v>47284</v>
      </c>
      <c r="B1040" s="0" t="inlineStr">
        <is>
          <t>五月</t>
        </is>
      </c>
      <c r="C1040" s="0" t="inlineStr">
        <is>
          <t>初四</t>
        </is>
      </c>
    </row>
    <row r="1041">
      <c r="A1041" s="12" t="n">
        <v>47285</v>
      </c>
      <c r="B1041" s="0" t="inlineStr">
        <is>
          <t>五月</t>
        </is>
      </c>
      <c r="C1041" s="0" t="inlineStr">
        <is>
          <t>初五</t>
        </is>
      </c>
    </row>
    <row r="1042">
      <c r="A1042" s="12" t="n">
        <v>47286</v>
      </c>
      <c r="B1042" s="0" t="inlineStr">
        <is>
          <t>五月</t>
        </is>
      </c>
      <c r="C1042" s="0" t="inlineStr">
        <is>
          <t>初六</t>
        </is>
      </c>
    </row>
    <row r="1043">
      <c r="A1043" s="12" t="n">
        <v>47287</v>
      </c>
      <c r="B1043" s="0" t="inlineStr">
        <is>
          <t>五月</t>
        </is>
      </c>
      <c r="C1043" s="0" t="inlineStr">
        <is>
          <t>初七</t>
        </is>
      </c>
    </row>
    <row r="1044">
      <c r="A1044" s="12" t="n">
        <v>47288</v>
      </c>
      <c r="B1044" s="0" t="inlineStr">
        <is>
          <t>五月</t>
        </is>
      </c>
      <c r="C1044" s="0" t="inlineStr">
        <is>
          <t>初八</t>
        </is>
      </c>
    </row>
    <row r="1045">
      <c r="A1045" s="12" t="n">
        <v>47289</v>
      </c>
      <c r="B1045" s="0" t="inlineStr">
        <is>
          <t>五月</t>
        </is>
      </c>
      <c r="C1045" s="0" t="inlineStr">
        <is>
          <t>初九</t>
        </is>
      </c>
    </row>
    <row r="1046">
      <c r="A1046" s="12" t="n">
        <v>47290</v>
      </c>
      <c r="B1046" s="0" t="inlineStr">
        <is>
          <t>五月</t>
        </is>
      </c>
      <c r="C1046" s="0" t="inlineStr">
        <is>
          <t>初十</t>
        </is>
      </c>
    </row>
    <row r="1047">
      <c r="A1047" s="12" t="n">
        <v>47291</v>
      </c>
      <c r="B1047" s="0" t="inlineStr">
        <is>
          <t>五月</t>
        </is>
      </c>
      <c r="C1047" s="0" t="inlineStr">
        <is>
          <t>十一</t>
        </is>
      </c>
    </row>
    <row r="1048">
      <c r="A1048" s="12" t="n">
        <v>47292</v>
      </c>
      <c r="B1048" s="0" t="inlineStr">
        <is>
          <t>五月</t>
        </is>
      </c>
      <c r="C1048" s="0" t="inlineStr">
        <is>
          <t>十二</t>
        </is>
      </c>
    </row>
    <row r="1049">
      <c r="A1049" s="12" t="n">
        <v>47293</v>
      </c>
      <c r="B1049" s="0" t="inlineStr">
        <is>
          <t>五月</t>
        </is>
      </c>
      <c r="C1049" s="0" t="inlineStr">
        <is>
          <t>十三</t>
        </is>
      </c>
    </row>
    <row r="1050">
      <c r="A1050" s="12" t="n">
        <v>47294</v>
      </c>
      <c r="B1050" s="0" t="inlineStr">
        <is>
          <t>五月</t>
        </is>
      </c>
      <c r="C1050" s="0" t="inlineStr">
        <is>
          <t>十四</t>
        </is>
      </c>
    </row>
    <row r="1051">
      <c r="A1051" s="12" t="n">
        <v>47295</v>
      </c>
      <c r="B1051" s="0" t="inlineStr">
        <is>
          <t>五月</t>
        </is>
      </c>
      <c r="C1051" s="0" t="inlineStr">
        <is>
          <t>十五</t>
        </is>
      </c>
    </row>
    <row r="1052">
      <c r="A1052" s="12" t="n">
        <v>47296</v>
      </c>
      <c r="B1052" s="0" t="inlineStr">
        <is>
          <t>五月</t>
        </is>
      </c>
      <c r="C1052" s="0" t="inlineStr">
        <is>
          <t>十六</t>
        </is>
      </c>
    </row>
    <row r="1053">
      <c r="A1053" s="12" t="n">
        <v>47297</v>
      </c>
      <c r="B1053" s="0" t="inlineStr">
        <is>
          <t>五月</t>
        </is>
      </c>
      <c r="C1053" s="0" t="inlineStr">
        <is>
          <t>十七</t>
        </is>
      </c>
    </row>
    <row r="1054">
      <c r="A1054" s="12" t="n">
        <v>47298</v>
      </c>
      <c r="B1054" s="0" t="inlineStr">
        <is>
          <t>五月</t>
        </is>
      </c>
      <c r="C1054" s="0" t="inlineStr">
        <is>
          <t>十八</t>
        </is>
      </c>
    </row>
    <row r="1055">
      <c r="A1055" s="12" t="n">
        <v>47299</v>
      </c>
      <c r="B1055" s="0" t="inlineStr">
        <is>
          <t>五月</t>
        </is>
      </c>
      <c r="C1055" s="0" t="inlineStr">
        <is>
          <t>十九</t>
        </is>
      </c>
    </row>
    <row r="1056">
      <c r="A1056" s="12" t="n">
        <v>47300</v>
      </c>
      <c r="B1056" s="0" t="inlineStr">
        <is>
          <t>五月</t>
        </is>
      </c>
      <c r="C1056" s="0" t="inlineStr">
        <is>
          <t>二十</t>
        </is>
      </c>
    </row>
    <row r="1057">
      <c r="A1057" s="12" t="n">
        <v>47301</v>
      </c>
      <c r="B1057" s="0" t="inlineStr">
        <is>
          <t>五月</t>
        </is>
      </c>
      <c r="C1057" s="0" t="inlineStr">
        <is>
          <t>廿一</t>
        </is>
      </c>
    </row>
    <row r="1058">
      <c r="A1058" s="12" t="n">
        <v>47302</v>
      </c>
      <c r="B1058" s="0" t="inlineStr">
        <is>
          <t>五月</t>
        </is>
      </c>
      <c r="C1058" s="0" t="inlineStr">
        <is>
          <t>廿二</t>
        </is>
      </c>
    </row>
    <row r="1059">
      <c r="A1059" s="12" t="n">
        <v>47303</v>
      </c>
      <c r="B1059" s="0" t="inlineStr">
        <is>
          <t>五月</t>
        </is>
      </c>
      <c r="C1059" s="0" t="inlineStr">
        <is>
          <t>廿三</t>
        </is>
      </c>
    </row>
    <row r="1060">
      <c r="A1060" s="12" t="n">
        <v>47304</v>
      </c>
      <c r="B1060" s="0" t="inlineStr">
        <is>
          <t>五月</t>
        </is>
      </c>
      <c r="C1060" s="0" t="inlineStr">
        <is>
          <t>廿四</t>
        </is>
      </c>
    </row>
    <row r="1061">
      <c r="A1061" s="12" t="n">
        <v>47305</v>
      </c>
      <c r="B1061" s="0" t="inlineStr">
        <is>
          <t>五月</t>
        </is>
      </c>
      <c r="C1061" s="0" t="inlineStr">
        <is>
          <t>廿五</t>
        </is>
      </c>
    </row>
    <row r="1062">
      <c r="A1062" s="12" t="n">
        <v>47306</v>
      </c>
      <c r="B1062" s="0" t="inlineStr">
        <is>
          <t>五月</t>
        </is>
      </c>
      <c r="C1062" s="0" t="inlineStr">
        <is>
          <t>廿六</t>
        </is>
      </c>
    </row>
    <row r="1063">
      <c r="A1063" s="12" t="n">
        <v>47307</v>
      </c>
      <c r="B1063" s="0" t="inlineStr">
        <is>
          <t>五月</t>
        </is>
      </c>
      <c r="C1063" s="0" t="inlineStr">
        <is>
          <t>廿七</t>
        </is>
      </c>
    </row>
    <row r="1064">
      <c r="A1064" s="12" t="n">
        <v>47308</v>
      </c>
      <c r="B1064" s="0" t="inlineStr">
        <is>
          <t>五月</t>
        </is>
      </c>
      <c r="C1064" s="0" t="inlineStr">
        <is>
          <t>廿八</t>
        </is>
      </c>
    </row>
    <row r="1065">
      <c r="A1065" s="12" t="n">
        <v>47309</v>
      </c>
      <c r="B1065" s="0" t="inlineStr">
        <is>
          <t>五月</t>
        </is>
      </c>
      <c r="C1065" s="0" t="inlineStr">
        <is>
          <t>廿九</t>
        </is>
      </c>
    </row>
    <row r="1066">
      <c r="A1066" s="12" t="n">
        <v>47310</v>
      </c>
      <c r="B1066" s="0" t="inlineStr">
        <is>
          <t>六月</t>
        </is>
      </c>
      <c r="C1066" s="0" t="inlineStr">
        <is>
          <t>初一</t>
        </is>
      </c>
    </row>
    <row r="1067">
      <c r="A1067" s="12" t="n">
        <v>47311</v>
      </c>
      <c r="B1067" s="0" t="inlineStr">
        <is>
          <t>六月</t>
        </is>
      </c>
      <c r="C1067" s="0" t="inlineStr">
        <is>
          <t>初二</t>
        </is>
      </c>
    </row>
    <row r="1068">
      <c r="A1068" s="12" t="n">
        <v>47312</v>
      </c>
      <c r="B1068" s="0" t="inlineStr">
        <is>
          <t>六月</t>
        </is>
      </c>
      <c r="C1068" s="0" t="inlineStr">
        <is>
          <t>初三</t>
        </is>
      </c>
    </row>
    <row r="1069">
      <c r="A1069" s="12" t="n">
        <v>47313</v>
      </c>
      <c r="B1069" s="0" t="inlineStr">
        <is>
          <t>六月</t>
        </is>
      </c>
      <c r="C1069" s="0" t="inlineStr">
        <is>
          <t>初四</t>
        </is>
      </c>
    </row>
    <row r="1070">
      <c r="A1070" s="12" t="n">
        <v>47314</v>
      </c>
      <c r="B1070" s="0" t="inlineStr">
        <is>
          <t>六月</t>
        </is>
      </c>
      <c r="C1070" s="0" t="inlineStr">
        <is>
          <t>初五</t>
        </is>
      </c>
    </row>
    <row r="1071">
      <c r="A1071" s="12" t="n">
        <v>47315</v>
      </c>
      <c r="B1071" s="0" t="inlineStr">
        <is>
          <t>六月</t>
        </is>
      </c>
      <c r="C1071" s="0" t="inlineStr">
        <is>
          <t>初六</t>
        </is>
      </c>
    </row>
    <row r="1072">
      <c r="A1072" s="12" t="n">
        <v>47316</v>
      </c>
      <c r="B1072" s="0" t="inlineStr">
        <is>
          <t>六月</t>
        </is>
      </c>
      <c r="C1072" s="0" t="inlineStr">
        <is>
          <t>初七</t>
        </is>
      </c>
    </row>
    <row r="1073">
      <c r="A1073" s="12" t="n">
        <v>47317</v>
      </c>
      <c r="B1073" s="0" t="inlineStr">
        <is>
          <t>六月</t>
        </is>
      </c>
      <c r="C1073" s="0" t="inlineStr">
        <is>
          <t>初八</t>
        </is>
      </c>
    </row>
    <row r="1074">
      <c r="A1074" s="12" t="n">
        <v>47318</v>
      </c>
      <c r="B1074" s="0" t="inlineStr">
        <is>
          <t>六月</t>
        </is>
      </c>
      <c r="C1074" s="0" t="inlineStr">
        <is>
          <t>初九</t>
        </is>
      </c>
    </row>
    <row r="1075">
      <c r="A1075" s="12" t="n">
        <v>47319</v>
      </c>
      <c r="B1075" s="0" t="inlineStr">
        <is>
          <t>六月</t>
        </is>
      </c>
      <c r="C1075" s="0" t="inlineStr">
        <is>
          <t>初十</t>
        </is>
      </c>
    </row>
    <row r="1076">
      <c r="A1076" s="12" t="n">
        <v>47320</v>
      </c>
      <c r="B1076" s="0" t="inlineStr">
        <is>
          <t>六月</t>
        </is>
      </c>
      <c r="C1076" s="0" t="inlineStr">
        <is>
          <t>十一</t>
        </is>
      </c>
    </row>
    <row r="1077">
      <c r="A1077" s="12" t="n">
        <v>47321</v>
      </c>
      <c r="B1077" s="0" t="inlineStr">
        <is>
          <t>六月</t>
        </is>
      </c>
      <c r="C1077" s="0" t="inlineStr">
        <is>
          <t>十二</t>
        </is>
      </c>
    </row>
    <row r="1078">
      <c r="A1078" s="12" t="n">
        <v>47322</v>
      </c>
      <c r="B1078" s="0" t="inlineStr">
        <is>
          <t>六月</t>
        </is>
      </c>
      <c r="C1078" s="0" t="inlineStr">
        <is>
          <t>十三</t>
        </is>
      </c>
    </row>
    <row r="1079">
      <c r="A1079" s="12" t="n">
        <v>47323</v>
      </c>
      <c r="B1079" s="0" t="inlineStr">
        <is>
          <t>六月</t>
        </is>
      </c>
      <c r="C1079" s="0" t="inlineStr">
        <is>
          <t>十四</t>
        </is>
      </c>
    </row>
    <row r="1080">
      <c r="A1080" s="12" t="n">
        <v>47324</v>
      </c>
      <c r="B1080" s="0" t="inlineStr">
        <is>
          <t>六月</t>
        </is>
      </c>
      <c r="C1080" s="0" t="inlineStr">
        <is>
          <t>十五</t>
        </is>
      </c>
    </row>
    <row r="1081">
      <c r="A1081" s="12" t="n">
        <v>47325</v>
      </c>
      <c r="B1081" s="0" t="inlineStr">
        <is>
          <t>六月</t>
        </is>
      </c>
      <c r="C1081" s="0" t="inlineStr">
        <is>
          <t>十六</t>
        </is>
      </c>
    </row>
    <row r="1082">
      <c r="A1082" s="12" t="n">
        <v>47326</v>
      </c>
      <c r="B1082" s="0" t="inlineStr">
        <is>
          <t>六月</t>
        </is>
      </c>
      <c r="C1082" s="0" t="inlineStr">
        <is>
          <t>十七</t>
        </is>
      </c>
    </row>
    <row r="1083">
      <c r="A1083" s="12" t="n">
        <v>47327</v>
      </c>
      <c r="B1083" s="0" t="inlineStr">
        <is>
          <t>六月</t>
        </is>
      </c>
      <c r="C1083" s="0" t="inlineStr">
        <is>
          <t>十八</t>
        </is>
      </c>
    </row>
    <row r="1084">
      <c r="A1084" s="12" t="n">
        <v>47328</v>
      </c>
      <c r="B1084" s="0" t="inlineStr">
        <is>
          <t>六月</t>
        </is>
      </c>
      <c r="C1084" s="0" t="inlineStr">
        <is>
          <t>十九</t>
        </is>
      </c>
    </row>
    <row r="1085">
      <c r="A1085" s="12" t="n">
        <v>47329</v>
      </c>
      <c r="B1085" s="0" t="inlineStr">
        <is>
          <t>六月</t>
        </is>
      </c>
      <c r="C1085" s="0" t="inlineStr">
        <is>
          <t>二十</t>
        </is>
      </c>
    </row>
    <row r="1086">
      <c r="A1086" s="12" t="n">
        <v>47330</v>
      </c>
      <c r="B1086" s="0" t="inlineStr">
        <is>
          <t>六月</t>
        </is>
      </c>
      <c r="C1086" s="0" t="inlineStr">
        <is>
          <t>廿一</t>
        </is>
      </c>
    </row>
    <row r="1087">
      <c r="A1087" s="12" t="n">
        <v>47331</v>
      </c>
      <c r="B1087" s="0" t="inlineStr">
        <is>
          <t>六月</t>
        </is>
      </c>
      <c r="C1087" s="0" t="inlineStr">
        <is>
          <t>廿二</t>
        </is>
      </c>
    </row>
    <row r="1088">
      <c r="A1088" s="12" t="n">
        <v>47332</v>
      </c>
      <c r="B1088" s="0" t="inlineStr">
        <is>
          <t>六月</t>
        </is>
      </c>
      <c r="C1088" s="0" t="inlineStr">
        <is>
          <t>廿三</t>
        </is>
      </c>
    </row>
    <row r="1089">
      <c r="A1089" s="12" t="n">
        <v>47333</v>
      </c>
      <c r="B1089" s="0" t="inlineStr">
        <is>
          <t>六月</t>
        </is>
      </c>
      <c r="C1089" s="0" t="inlineStr">
        <is>
          <t>廿四</t>
        </is>
      </c>
    </row>
    <row r="1090">
      <c r="A1090" s="12" t="n">
        <v>47334</v>
      </c>
      <c r="B1090" s="0" t="inlineStr">
        <is>
          <t>六月</t>
        </is>
      </c>
      <c r="C1090" s="0" t="inlineStr">
        <is>
          <t>廿五</t>
        </is>
      </c>
    </row>
    <row r="1091">
      <c r="A1091" s="12" t="n">
        <v>47335</v>
      </c>
      <c r="B1091" s="0" t="inlineStr">
        <is>
          <t>六月</t>
        </is>
      </c>
      <c r="C1091" s="0" t="inlineStr">
        <is>
          <t>廿六</t>
        </is>
      </c>
    </row>
    <row r="1092">
      <c r="A1092" s="12" t="n">
        <v>47336</v>
      </c>
      <c r="B1092" s="0" t="inlineStr">
        <is>
          <t>六月</t>
        </is>
      </c>
      <c r="C1092" s="0" t="inlineStr">
        <is>
          <t>廿七</t>
        </is>
      </c>
    </row>
    <row r="1093">
      <c r="A1093" s="12" t="n">
        <v>47337</v>
      </c>
      <c r="B1093" s="0" t="inlineStr">
        <is>
          <t>六月</t>
        </is>
      </c>
      <c r="C1093" s="0" t="inlineStr">
        <is>
          <t>廿八</t>
        </is>
      </c>
    </row>
    <row r="1094">
      <c r="A1094" s="12" t="n">
        <v>47338</v>
      </c>
      <c r="B1094" s="0" t="inlineStr">
        <is>
          <t>六月</t>
        </is>
      </c>
      <c r="C1094" s="0" t="inlineStr">
        <is>
          <t>廿九</t>
        </is>
      </c>
    </row>
    <row r="1095">
      <c r="A1095" s="12" t="n">
        <v>47339</v>
      </c>
      <c r="B1095" s="0" t="inlineStr">
        <is>
          <t>六月</t>
        </is>
      </c>
      <c r="C1095" s="0" t="inlineStr">
        <is>
          <t>三十</t>
        </is>
      </c>
    </row>
    <row r="1096">
      <c r="A1096" s="12" t="n">
        <v>47340</v>
      </c>
      <c r="B1096" s="0" t="inlineStr">
        <is>
          <t>七月</t>
        </is>
      </c>
      <c r="C1096" s="0" t="inlineStr">
        <is>
          <t>初一</t>
        </is>
      </c>
    </row>
    <row r="1097">
      <c r="A1097" s="12" t="n">
        <v>47341</v>
      </c>
      <c r="B1097" s="0" t="inlineStr">
        <is>
          <t>七月</t>
        </is>
      </c>
      <c r="C1097" s="0" t="inlineStr">
        <is>
          <t>初二</t>
        </is>
      </c>
    </row>
    <row r="1098">
      <c r="A1098" s="12" t="n">
        <v>47342</v>
      </c>
      <c r="B1098" s="0" t="inlineStr">
        <is>
          <t>七月</t>
        </is>
      </c>
      <c r="C1098" s="0" t="inlineStr">
        <is>
          <t>初三</t>
        </is>
      </c>
    </row>
    <row r="1099">
      <c r="A1099" s="12" t="n">
        <v>47343</v>
      </c>
      <c r="B1099" s="0" t="inlineStr">
        <is>
          <t>七月</t>
        </is>
      </c>
      <c r="C1099" s="0" t="inlineStr">
        <is>
          <t>初四</t>
        </is>
      </c>
    </row>
    <row r="1100">
      <c r="A1100" s="12" t="n">
        <v>47344</v>
      </c>
      <c r="B1100" s="0" t="inlineStr">
        <is>
          <t>七月</t>
        </is>
      </c>
      <c r="C1100" s="0" t="inlineStr">
        <is>
          <t>初五</t>
        </is>
      </c>
    </row>
    <row r="1101">
      <c r="A1101" s="12" t="n">
        <v>47345</v>
      </c>
      <c r="B1101" s="0" t="inlineStr">
        <is>
          <t>七月</t>
        </is>
      </c>
      <c r="C1101" s="0" t="inlineStr">
        <is>
          <t>初六</t>
        </is>
      </c>
    </row>
    <row r="1102">
      <c r="A1102" s="12" t="n">
        <v>47346</v>
      </c>
      <c r="B1102" s="0" t="inlineStr">
        <is>
          <t>七月</t>
        </is>
      </c>
      <c r="C1102" s="0" t="inlineStr">
        <is>
          <t>初七</t>
        </is>
      </c>
    </row>
    <row r="1103">
      <c r="A1103" s="12" t="n">
        <v>47347</v>
      </c>
      <c r="B1103" s="0" t="inlineStr">
        <is>
          <t>七月</t>
        </is>
      </c>
      <c r="C1103" s="0" t="inlineStr">
        <is>
          <t>初八</t>
        </is>
      </c>
    </row>
    <row r="1104">
      <c r="A1104" s="12" t="n">
        <v>47348</v>
      </c>
      <c r="B1104" s="0" t="inlineStr">
        <is>
          <t>七月</t>
        </is>
      </c>
      <c r="C1104" s="0" t="inlineStr">
        <is>
          <t>初九</t>
        </is>
      </c>
    </row>
    <row r="1105">
      <c r="A1105" s="12" t="n">
        <v>47349</v>
      </c>
      <c r="B1105" s="0" t="inlineStr">
        <is>
          <t>七月</t>
        </is>
      </c>
      <c r="C1105" s="0" t="inlineStr">
        <is>
          <t>初十</t>
        </is>
      </c>
    </row>
    <row r="1106">
      <c r="A1106" s="12" t="n">
        <v>47350</v>
      </c>
      <c r="B1106" s="0" t="inlineStr">
        <is>
          <t>七月</t>
        </is>
      </c>
      <c r="C1106" s="0" t="inlineStr">
        <is>
          <t>十一</t>
        </is>
      </c>
    </row>
    <row r="1107">
      <c r="A1107" s="12" t="n">
        <v>47351</v>
      </c>
      <c r="B1107" s="0" t="inlineStr">
        <is>
          <t>七月</t>
        </is>
      </c>
      <c r="C1107" s="0" t="inlineStr">
        <is>
          <t>十二</t>
        </is>
      </c>
    </row>
    <row r="1108">
      <c r="A1108" s="12" t="n">
        <v>47352</v>
      </c>
      <c r="B1108" s="0" t="inlineStr">
        <is>
          <t>七月</t>
        </is>
      </c>
      <c r="C1108" s="0" t="inlineStr">
        <is>
          <t>十三</t>
        </is>
      </c>
    </row>
    <row r="1109">
      <c r="A1109" s="12" t="n">
        <v>47353</v>
      </c>
      <c r="B1109" s="0" t="inlineStr">
        <is>
          <t>七月</t>
        </is>
      </c>
      <c r="C1109" s="0" t="inlineStr">
        <is>
          <t>十四</t>
        </is>
      </c>
    </row>
    <row r="1110">
      <c r="A1110" s="12" t="n">
        <v>47354</v>
      </c>
      <c r="B1110" s="0" t="inlineStr">
        <is>
          <t>七月</t>
        </is>
      </c>
      <c r="C1110" s="0" t="inlineStr">
        <is>
          <t>十五</t>
        </is>
      </c>
    </row>
    <row r="1111">
      <c r="A1111" s="12" t="n">
        <v>47355</v>
      </c>
      <c r="B1111" s="0" t="inlineStr">
        <is>
          <t>七月</t>
        </is>
      </c>
      <c r="C1111" s="0" t="inlineStr">
        <is>
          <t>十六</t>
        </is>
      </c>
    </row>
    <row r="1112">
      <c r="A1112" s="12" t="n">
        <v>47356</v>
      </c>
      <c r="B1112" s="0" t="inlineStr">
        <is>
          <t>七月</t>
        </is>
      </c>
      <c r="C1112" s="0" t="inlineStr">
        <is>
          <t>十七</t>
        </is>
      </c>
    </row>
    <row r="1113">
      <c r="A1113" s="12" t="n">
        <v>47357</v>
      </c>
      <c r="B1113" s="0" t="inlineStr">
        <is>
          <t>七月</t>
        </is>
      </c>
      <c r="C1113" s="0" t="inlineStr">
        <is>
          <t>十八</t>
        </is>
      </c>
    </row>
    <row r="1114">
      <c r="A1114" s="12" t="n">
        <v>47358</v>
      </c>
      <c r="B1114" s="0" t="inlineStr">
        <is>
          <t>七月</t>
        </is>
      </c>
      <c r="C1114" s="0" t="inlineStr">
        <is>
          <t>十九</t>
        </is>
      </c>
    </row>
    <row r="1115">
      <c r="A1115" s="12" t="n">
        <v>47359</v>
      </c>
      <c r="B1115" s="0" t="inlineStr">
        <is>
          <t>七月</t>
        </is>
      </c>
      <c r="C1115" s="0" t="inlineStr">
        <is>
          <t>二十</t>
        </is>
      </c>
    </row>
    <row r="1116">
      <c r="A1116" s="12" t="n">
        <v>47360</v>
      </c>
      <c r="B1116" s="0" t="inlineStr">
        <is>
          <t>七月</t>
        </is>
      </c>
      <c r="C1116" s="0" t="inlineStr">
        <is>
          <t>廿一</t>
        </is>
      </c>
    </row>
    <row r="1117">
      <c r="A1117" s="12" t="n">
        <v>47361</v>
      </c>
      <c r="B1117" s="0" t="inlineStr">
        <is>
          <t>七月</t>
        </is>
      </c>
      <c r="C1117" s="0" t="inlineStr">
        <is>
          <t>廿二</t>
        </is>
      </c>
    </row>
    <row r="1118">
      <c r="A1118" s="12" t="n">
        <v>47362</v>
      </c>
      <c r="B1118" s="0" t="inlineStr">
        <is>
          <t>七月</t>
        </is>
      </c>
      <c r="C1118" s="0" t="inlineStr">
        <is>
          <t>廿三</t>
        </is>
      </c>
    </row>
    <row r="1119">
      <c r="A1119" s="12" t="n">
        <v>47363</v>
      </c>
      <c r="B1119" s="0" t="inlineStr">
        <is>
          <t>七月</t>
        </is>
      </c>
      <c r="C1119" s="0" t="inlineStr">
        <is>
          <t>廿四</t>
        </is>
      </c>
    </row>
    <row r="1120">
      <c r="A1120" s="12" t="n">
        <v>47364</v>
      </c>
      <c r="B1120" s="0" t="inlineStr">
        <is>
          <t>七月</t>
        </is>
      </c>
      <c r="C1120" s="0" t="inlineStr">
        <is>
          <t>廿五</t>
        </is>
      </c>
    </row>
    <row r="1121">
      <c r="A1121" s="12" t="n">
        <v>47365</v>
      </c>
      <c r="B1121" s="0" t="inlineStr">
        <is>
          <t>七月</t>
        </is>
      </c>
      <c r="C1121" s="0" t="inlineStr">
        <is>
          <t>廿六</t>
        </is>
      </c>
    </row>
    <row r="1122">
      <c r="A1122" s="12" t="n">
        <v>47366</v>
      </c>
      <c r="B1122" s="0" t="inlineStr">
        <is>
          <t>七月</t>
        </is>
      </c>
      <c r="C1122" s="0" t="inlineStr">
        <is>
          <t>廿七</t>
        </is>
      </c>
    </row>
    <row r="1123">
      <c r="A1123" s="12" t="n">
        <v>47367</v>
      </c>
      <c r="B1123" s="0" t="inlineStr">
        <is>
          <t>七月</t>
        </is>
      </c>
      <c r="C1123" s="0" t="inlineStr">
        <is>
          <t>廿八</t>
        </is>
      </c>
    </row>
    <row r="1124">
      <c r="A1124" s="12" t="n">
        <v>47368</v>
      </c>
      <c r="B1124" s="0" t="inlineStr">
        <is>
          <t>七月</t>
        </is>
      </c>
      <c r="C1124" s="0" t="inlineStr">
        <is>
          <t>廿九</t>
        </is>
      </c>
    </row>
    <row r="1125">
      <c r="A1125" s="12" t="n">
        <v>47369</v>
      </c>
      <c r="B1125" s="0" t="inlineStr">
        <is>
          <t>八月</t>
        </is>
      </c>
      <c r="C1125" s="0" t="inlineStr">
        <is>
          <t>初一</t>
        </is>
      </c>
    </row>
    <row r="1126">
      <c r="A1126" s="12" t="n">
        <v>47370</v>
      </c>
      <c r="B1126" s="0" t="inlineStr">
        <is>
          <t>八月</t>
        </is>
      </c>
      <c r="C1126" s="0" t="inlineStr">
        <is>
          <t>初二</t>
        </is>
      </c>
    </row>
    <row r="1127">
      <c r="A1127" s="12" t="n">
        <v>47371</v>
      </c>
      <c r="B1127" s="0" t="inlineStr">
        <is>
          <t>八月</t>
        </is>
      </c>
      <c r="C1127" s="0" t="inlineStr">
        <is>
          <t>初三</t>
        </is>
      </c>
    </row>
    <row r="1128">
      <c r="A1128" s="12" t="n">
        <v>47372</v>
      </c>
      <c r="B1128" s="0" t="inlineStr">
        <is>
          <t>八月</t>
        </is>
      </c>
      <c r="C1128" s="0" t="inlineStr">
        <is>
          <t>初四</t>
        </is>
      </c>
    </row>
    <row r="1129">
      <c r="A1129" s="12" t="n">
        <v>47373</v>
      </c>
      <c r="B1129" s="0" t="inlineStr">
        <is>
          <t>八月</t>
        </is>
      </c>
      <c r="C1129" s="0" t="inlineStr">
        <is>
          <t>初五</t>
        </is>
      </c>
    </row>
    <row r="1130">
      <c r="A1130" s="12" t="n">
        <v>47374</v>
      </c>
      <c r="B1130" s="0" t="inlineStr">
        <is>
          <t>八月</t>
        </is>
      </c>
      <c r="C1130" s="0" t="inlineStr">
        <is>
          <t>初六</t>
        </is>
      </c>
    </row>
    <row r="1131">
      <c r="A1131" s="12" t="n">
        <v>47375</v>
      </c>
      <c r="B1131" s="0" t="inlineStr">
        <is>
          <t>八月</t>
        </is>
      </c>
      <c r="C1131" s="0" t="inlineStr">
        <is>
          <t>初七</t>
        </is>
      </c>
    </row>
    <row r="1132">
      <c r="A1132" s="12" t="n">
        <v>47376</v>
      </c>
      <c r="B1132" s="0" t="inlineStr">
        <is>
          <t>八月</t>
        </is>
      </c>
      <c r="C1132" s="0" t="inlineStr">
        <is>
          <t>初八</t>
        </is>
      </c>
    </row>
    <row r="1133">
      <c r="A1133" s="12" t="n">
        <v>47377</v>
      </c>
      <c r="B1133" s="0" t="inlineStr">
        <is>
          <t>八月</t>
        </is>
      </c>
      <c r="C1133" s="0" t="inlineStr">
        <is>
          <t>初九</t>
        </is>
      </c>
    </row>
    <row r="1134">
      <c r="A1134" s="12" t="n">
        <v>47378</v>
      </c>
      <c r="B1134" s="0" t="inlineStr">
        <is>
          <t>八月</t>
        </is>
      </c>
      <c r="C1134" s="0" t="inlineStr">
        <is>
          <t>初十</t>
        </is>
      </c>
    </row>
    <row r="1135">
      <c r="A1135" s="12" t="n">
        <v>47379</v>
      </c>
      <c r="B1135" s="0" t="inlineStr">
        <is>
          <t>八月</t>
        </is>
      </c>
      <c r="C1135" s="0" t="inlineStr">
        <is>
          <t>十一</t>
        </is>
      </c>
    </row>
    <row r="1136">
      <c r="A1136" s="12" t="n">
        <v>47380</v>
      </c>
      <c r="B1136" s="0" t="inlineStr">
        <is>
          <t>八月</t>
        </is>
      </c>
      <c r="C1136" s="0" t="inlineStr">
        <is>
          <t>十二</t>
        </is>
      </c>
    </row>
    <row r="1137">
      <c r="A1137" s="12" t="n">
        <v>47381</v>
      </c>
      <c r="B1137" s="0" t="inlineStr">
        <is>
          <t>八月</t>
        </is>
      </c>
      <c r="C1137" s="0" t="inlineStr">
        <is>
          <t>十三</t>
        </is>
      </c>
    </row>
    <row r="1138">
      <c r="A1138" s="12" t="n">
        <v>47382</v>
      </c>
      <c r="B1138" s="0" t="inlineStr">
        <is>
          <t>八月</t>
        </is>
      </c>
      <c r="C1138" s="0" t="inlineStr">
        <is>
          <t>十四</t>
        </is>
      </c>
    </row>
    <row r="1139">
      <c r="A1139" s="12" t="n">
        <v>47383</v>
      </c>
      <c r="B1139" s="0" t="inlineStr">
        <is>
          <t>八月</t>
        </is>
      </c>
      <c r="C1139" s="0" t="inlineStr">
        <is>
          <t>十五</t>
        </is>
      </c>
    </row>
    <row r="1140">
      <c r="A1140" s="12" t="n">
        <v>47384</v>
      </c>
      <c r="B1140" s="0" t="inlineStr">
        <is>
          <t>八月</t>
        </is>
      </c>
      <c r="C1140" s="0" t="inlineStr">
        <is>
          <t>十六</t>
        </is>
      </c>
    </row>
    <row r="1141">
      <c r="A1141" s="12" t="n">
        <v>47385</v>
      </c>
      <c r="B1141" s="0" t="inlineStr">
        <is>
          <t>八月</t>
        </is>
      </c>
      <c r="C1141" s="0" t="inlineStr">
        <is>
          <t>十七</t>
        </is>
      </c>
    </row>
    <row r="1142">
      <c r="A1142" s="12" t="n">
        <v>47386</v>
      </c>
      <c r="B1142" s="0" t="inlineStr">
        <is>
          <t>八月</t>
        </is>
      </c>
      <c r="C1142" s="0" t="inlineStr">
        <is>
          <t>十八</t>
        </is>
      </c>
    </row>
    <row r="1143">
      <c r="A1143" s="12" t="n">
        <v>47387</v>
      </c>
      <c r="B1143" s="0" t="inlineStr">
        <is>
          <t>八月</t>
        </is>
      </c>
      <c r="C1143" s="0" t="inlineStr">
        <is>
          <t>十九</t>
        </is>
      </c>
    </row>
    <row r="1144">
      <c r="A1144" s="12" t="n">
        <v>47388</v>
      </c>
      <c r="B1144" s="0" t="inlineStr">
        <is>
          <t>八月</t>
        </is>
      </c>
      <c r="C1144" s="0" t="inlineStr">
        <is>
          <t>二十</t>
        </is>
      </c>
    </row>
    <row r="1145">
      <c r="A1145" s="12" t="n">
        <v>47389</v>
      </c>
      <c r="B1145" s="0" t="inlineStr">
        <is>
          <t>八月</t>
        </is>
      </c>
      <c r="C1145" s="0" t="inlineStr">
        <is>
          <t>廿一</t>
        </is>
      </c>
    </row>
    <row r="1146">
      <c r="A1146" s="12" t="n">
        <v>47390</v>
      </c>
      <c r="B1146" s="0" t="inlineStr">
        <is>
          <t>八月</t>
        </is>
      </c>
      <c r="C1146" s="0" t="inlineStr">
        <is>
          <t>廿二</t>
        </is>
      </c>
    </row>
    <row r="1147">
      <c r="A1147" s="12" t="n">
        <v>47391</v>
      </c>
      <c r="B1147" s="0" t="inlineStr">
        <is>
          <t>八月</t>
        </is>
      </c>
      <c r="C1147" s="0" t="inlineStr">
        <is>
          <t>廿三</t>
        </is>
      </c>
    </row>
    <row r="1148">
      <c r="A1148" s="12" t="n">
        <v>47392</v>
      </c>
      <c r="B1148" s="0" t="inlineStr">
        <is>
          <t>八月</t>
        </is>
      </c>
      <c r="C1148" s="0" t="inlineStr">
        <is>
          <t>廿四</t>
        </is>
      </c>
    </row>
    <row r="1149">
      <c r="A1149" s="12" t="n">
        <v>47393</v>
      </c>
      <c r="B1149" s="0" t="inlineStr">
        <is>
          <t>八月</t>
        </is>
      </c>
      <c r="C1149" s="0" t="inlineStr">
        <is>
          <t>廿五</t>
        </is>
      </c>
    </row>
    <row r="1150">
      <c r="A1150" s="12" t="n">
        <v>47394</v>
      </c>
      <c r="B1150" s="0" t="inlineStr">
        <is>
          <t>八月</t>
        </is>
      </c>
      <c r="C1150" s="0" t="inlineStr">
        <is>
          <t>廿六</t>
        </is>
      </c>
    </row>
    <row r="1151">
      <c r="A1151" s="12" t="n">
        <v>47395</v>
      </c>
      <c r="B1151" s="0" t="inlineStr">
        <is>
          <t>八月</t>
        </is>
      </c>
      <c r="C1151" s="0" t="inlineStr">
        <is>
          <t>廿七</t>
        </is>
      </c>
    </row>
    <row r="1152">
      <c r="A1152" s="12" t="n">
        <v>47396</v>
      </c>
      <c r="B1152" s="0" t="inlineStr">
        <is>
          <t>八月</t>
        </is>
      </c>
      <c r="C1152" s="0" t="inlineStr">
        <is>
          <t>廿八</t>
        </is>
      </c>
    </row>
    <row r="1153">
      <c r="A1153" s="12" t="n">
        <v>47397</v>
      </c>
      <c r="B1153" s="0" t="inlineStr">
        <is>
          <t>八月</t>
        </is>
      </c>
      <c r="C1153" s="0" t="inlineStr">
        <is>
          <t>廿九</t>
        </is>
      </c>
    </row>
    <row r="1154">
      <c r="A1154" s="12" t="n">
        <v>47398</v>
      </c>
      <c r="B1154" s="0" t="inlineStr">
        <is>
          <t>八月</t>
        </is>
      </c>
      <c r="C1154" s="0" t="inlineStr">
        <is>
          <t>三十</t>
        </is>
      </c>
    </row>
    <row r="1155">
      <c r="A1155" s="12" t="n">
        <v>47399</v>
      </c>
      <c r="B1155" s="0" t="inlineStr">
        <is>
          <t>九月</t>
        </is>
      </c>
      <c r="C1155" s="0" t="inlineStr">
        <is>
          <t>初一</t>
        </is>
      </c>
    </row>
    <row r="1156">
      <c r="A1156" s="12" t="n">
        <v>47400</v>
      </c>
      <c r="B1156" s="0" t="inlineStr">
        <is>
          <t>九月</t>
        </is>
      </c>
      <c r="C1156" s="0" t="inlineStr">
        <is>
          <t>初二</t>
        </is>
      </c>
    </row>
    <row r="1157">
      <c r="A1157" s="12" t="n">
        <v>47401</v>
      </c>
      <c r="B1157" s="0" t="inlineStr">
        <is>
          <t>九月</t>
        </is>
      </c>
      <c r="C1157" s="0" t="inlineStr">
        <is>
          <t>初三</t>
        </is>
      </c>
    </row>
    <row r="1158">
      <c r="A1158" s="12" t="n">
        <v>47402</v>
      </c>
      <c r="B1158" s="0" t="inlineStr">
        <is>
          <t>九月</t>
        </is>
      </c>
      <c r="C1158" s="0" t="inlineStr">
        <is>
          <t>初四</t>
        </is>
      </c>
    </row>
    <row r="1159">
      <c r="A1159" s="12" t="n">
        <v>47403</v>
      </c>
      <c r="B1159" s="0" t="inlineStr">
        <is>
          <t>九月</t>
        </is>
      </c>
      <c r="C1159" s="0" t="inlineStr">
        <is>
          <t>初五</t>
        </is>
      </c>
    </row>
    <row r="1160">
      <c r="A1160" s="12" t="n">
        <v>47404</v>
      </c>
      <c r="B1160" s="0" t="inlineStr">
        <is>
          <t>九月</t>
        </is>
      </c>
      <c r="C1160" s="0" t="inlineStr">
        <is>
          <t>初六</t>
        </is>
      </c>
    </row>
    <row r="1161">
      <c r="A1161" s="12" t="n">
        <v>47405</v>
      </c>
      <c r="B1161" s="0" t="inlineStr">
        <is>
          <t>九月</t>
        </is>
      </c>
      <c r="C1161" s="0" t="inlineStr">
        <is>
          <t>初七</t>
        </is>
      </c>
    </row>
    <row r="1162">
      <c r="A1162" s="12" t="n">
        <v>47406</v>
      </c>
      <c r="B1162" s="0" t="inlineStr">
        <is>
          <t>九月</t>
        </is>
      </c>
      <c r="C1162" s="0" t="inlineStr">
        <is>
          <t>初八</t>
        </is>
      </c>
    </row>
    <row r="1163">
      <c r="A1163" s="12" t="n">
        <v>47407</v>
      </c>
      <c r="B1163" s="0" t="inlineStr">
        <is>
          <t>九月</t>
        </is>
      </c>
      <c r="C1163" s="0" t="inlineStr">
        <is>
          <t>初九</t>
        </is>
      </c>
    </row>
    <row r="1164">
      <c r="A1164" s="12" t="n">
        <v>47408</v>
      </c>
      <c r="B1164" s="0" t="inlineStr">
        <is>
          <t>九月</t>
        </is>
      </c>
      <c r="C1164" s="0" t="inlineStr">
        <is>
          <t>初十</t>
        </is>
      </c>
    </row>
    <row r="1165">
      <c r="A1165" s="12" t="n">
        <v>47409</v>
      </c>
      <c r="B1165" s="0" t="inlineStr">
        <is>
          <t>九月</t>
        </is>
      </c>
      <c r="C1165" s="0" t="inlineStr">
        <is>
          <t>十一</t>
        </is>
      </c>
    </row>
    <row r="1166">
      <c r="A1166" s="12" t="n">
        <v>47410</v>
      </c>
      <c r="B1166" s="0" t="inlineStr">
        <is>
          <t>九月</t>
        </is>
      </c>
      <c r="C1166" s="0" t="inlineStr">
        <is>
          <t>十二</t>
        </is>
      </c>
    </row>
    <row r="1167">
      <c r="A1167" s="12" t="n">
        <v>47411</v>
      </c>
      <c r="B1167" s="0" t="inlineStr">
        <is>
          <t>九月</t>
        </is>
      </c>
      <c r="C1167" s="0" t="inlineStr">
        <is>
          <t>十三</t>
        </is>
      </c>
    </row>
    <row r="1168">
      <c r="A1168" s="12" t="n">
        <v>47412</v>
      </c>
      <c r="B1168" s="0" t="inlineStr">
        <is>
          <t>九月</t>
        </is>
      </c>
      <c r="C1168" s="0" t="inlineStr">
        <is>
          <t>十四</t>
        </is>
      </c>
    </row>
    <row r="1169">
      <c r="A1169" s="12" t="n">
        <v>47413</v>
      </c>
      <c r="B1169" s="0" t="inlineStr">
        <is>
          <t>九月</t>
        </is>
      </c>
      <c r="C1169" s="0" t="inlineStr">
        <is>
          <t>十五</t>
        </is>
      </c>
    </row>
    <row r="1170">
      <c r="A1170" s="12" t="n">
        <v>47414</v>
      </c>
      <c r="B1170" s="0" t="inlineStr">
        <is>
          <t>九月</t>
        </is>
      </c>
      <c r="C1170" s="0" t="inlineStr">
        <is>
          <t>十六</t>
        </is>
      </c>
    </row>
    <row r="1171">
      <c r="A1171" s="12" t="n">
        <v>47415</v>
      </c>
      <c r="B1171" s="0" t="inlineStr">
        <is>
          <t>九月</t>
        </is>
      </c>
      <c r="C1171" s="0" t="inlineStr">
        <is>
          <t>十七</t>
        </is>
      </c>
    </row>
    <row r="1172">
      <c r="A1172" s="12" t="n">
        <v>47416</v>
      </c>
      <c r="B1172" s="0" t="inlineStr">
        <is>
          <t>九月</t>
        </is>
      </c>
      <c r="C1172" s="0" t="inlineStr">
        <is>
          <t>十八</t>
        </is>
      </c>
    </row>
    <row r="1173">
      <c r="A1173" s="12" t="n">
        <v>47417</v>
      </c>
      <c r="B1173" s="0" t="inlineStr">
        <is>
          <t>九月</t>
        </is>
      </c>
      <c r="C1173" s="0" t="inlineStr">
        <is>
          <t>十九</t>
        </is>
      </c>
    </row>
    <row r="1174">
      <c r="A1174" s="12" t="n">
        <v>47418</v>
      </c>
      <c r="B1174" s="0" t="inlineStr">
        <is>
          <t>九月</t>
        </is>
      </c>
      <c r="C1174" s="0" t="inlineStr">
        <is>
          <t>二十</t>
        </is>
      </c>
    </row>
    <row r="1175">
      <c r="A1175" s="12" t="n">
        <v>47419</v>
      </c>
      <c r="B1175" s="0" t="inlineStr">
        <is>
          <t>九月</t>
        </is>
      </c>
      <c r="C1175" s="0" t="inlineStr">
        <is>
          <t>廿一</t>
        </is>
      </c>
    </row>
    <row r="1176">
      <c r="A1176" s="12" t="n">
        <v>47420</v>
      </c>
      <c r="B1176" s="0" t="inlineStr">
        <is>
          <t>九月</t>
        </is>
      </c>
      <c r="C1176" s="0" t="inlineStr">
        <is>
          <t>廿二</t>
        </is>
      </c>
    </row>
    <row r="1177">
      <c r="A1177" s="12" t="n">
        <v>47421</v>
      </c>
      <c r="B1177" s="0" t="inlineStr">
        <is>
          <t>九月</t>
        </is>
      </c>
      <c r="C1177" s="0" t="inlineStr">
        <is>
          <t>廿三</t>
        </is>
      </c>
    </row>
    <row r="1178">
      <c r="A1178" s="12" t="n">
        <v>47422</v>
      </c>
      <c r="B1178" s="0" t="inlineStr">
        <is>
          <t>九月</t>
        </is>
      </c>
      <c r="C1178" s="0" t="inlineStr">
        <is>
          <t>廿四</t>
        </is>
      </c>
    </row>
    <row r="1179">
      <c r="A1179" s="12" t="n">
        <v>47423</v>
      </c>
      <c r="B1179" s="0" t="inlineStr">
        <is>
          <t>九月</t>
        </is>
      </c>
      <c r="C1179" s="0" t="inlineStr">
        <is>
          <t>廿五</t>
        </is>
      </c>
    </row>
    <row r="1180">
      <c r="A1180" s="12" t="n">
        <v>47424</v>
      </c>
      <c r="B1180" s="0" t="inlineStr">
        <is>
          <t>九月</t>
        </is>
      </c>
      <c r="C1180" s="0" t="inlineStr">
        <is>
          <t>廿六</t>
        </is>
      </c>
    </row>
    <row r="1181">
      <c r="A1181" s="12" t="n">
        <v>47425</v>
      </c>
      <c r="B1181" s="0" t="inlineStr">
        <is>
          <t>九月</t>
        </is>
      </c>
      <c r="C1181" s="0" t="inlineStr">
        <is>
          <t>廿七</t>
        </is>
      </c>
    </row>
    <row r="1182">
      <c r="A1182" s="12" t="n">
        <v>47426</v>
      </c>
      <c r="B1182" s="0" t="inlineStr">
        <is>
          <t>九月</t>
        </is>
      </c>
      <c r="C1182" s="0" t="inlineStr">
        <is>
          <t>廿八</t>
        </is>
      </c>
    </row>
    <row r="1183">
      <c r="A1183" s="12" t="n">
        <v>47427</v>
      </c>
      <c r="B1183" s="0" t="inlineStr">
        <is>
          <t>九月</t>
        </is>
      </c>
      <c r="C1183" s="0" t="inlineStr">
        <is>
          <t>廿九</t>
        </is>
      </c>
    </row>
    <row r="1184">
      <c r="A1184" s="12" t="n">
        <v>47428</v>
      </c>
      <c r="B1184" s="0" t="inlineStr">
        <is>
          <t>十月</t>
        </is>
      </c>
      <c r="C1184" s="0" t="inlineStr">
        <is>
          <t>初一</t>
        </is>
      </c>
    </row>
    <row r="1185">
      <c r="A1185" s="12" t="n">
        <v>47429</v>
      </c>
      <c r="B1185" s="0" t="inlineStr">
        <is>
          <t>十月</t>
        </is>
      </c>
      <c r="C1185" s="0" t="inlineStr">
        <is>
          <t>初二</t>
        </is>
      </c>
    </row>
    <row r="1186">
      <c r="A1186" s="12" t="n">
        <v>47430</v>
      </c>
      <c r="B1186" s="0" t="inlineStr">
        <is>
          <t>十月</t>
        </is>
      </c>
      <c r="C1186" s="0" t="inlineStr">
        <is>
          <t>初三</t>
        </is>
      </c>
    </row>
    <row r="1187">
      <c r="A1187" s="12" t="n">
        <v>47431</v>
      </c>
      <c r="B1187" s="0" t="inlineStr">
        <is>
          <t>十月</t>
        </is>
      </c>
      <c r="C1187" s="0" t="inlineStr">
        <is>
          <t>初四</t>
        </is>
      </c>
    </row>
    <row r="1188">
      <c r="A1188" s="12" t="n">
        <v>47432</v>
      </c>
      <c r="B1188" s="0" t="inlineStr">
        <is>
          <t>十月</t>
        </is>
      </c>
      <c r="C1188" s="0" t="inlineStr">
        <is>
          <t>初五</t>
        </is>
      </c>
    </row>
    <row r="1189">
      <c r="A1189" s="12" t="n">
        <v>47433</v>
      </c>
      <c r="B1189" s="0" t="inlineStr">
        <is>
          <t>十月</t>
        </is>
      </c>
      <c r="C1189" s="0" t="inlineStr">
        <is>
          <t>初六</t>
        </is>
      </c>
    </row>
    <row r="1190">
      <c r="A1190" s="12" t="n">
        <v>47434</v>
      </c>
      <c r="B1190" s="0" t="inlineStr">
        <is>
          <t>十月</t>
        </is>
      </c>
      <c r="C1190" s="0" t="inlineStr">
        <is>
          <t>初七</t>
        </is>
      </c>
    </row>
    <row r="1191">
      <c r="A1191" s="12" t="n">
        <v>47435</v>
      </c>
      <c r="B1191" s="0" t="inlineStr">
        <is>
          <t>十月</t>
        </is>
      </c>
      <c r="C1191" s="0" t="inlineStr">
        <is>
          <t>初八</t>
        </is>
      </c>
    </row>
    <row r="1192">
      <c r="A1192" s="12" t="n">
        <v>47436</v>
      </c>
      <c r="B1192" s="0" t="inlineStr">
        <is>
          <t>十月</t>
        </is>
      </c>
      <c r="C1192" s="0" t="inlineStr">
        <is>
          <t>初九</t>
        </is>
      </c>
    </row>
    <row r="1193">
      <c r="A1193" s="12" t="n">
        <v>47437</v>
      </c>
      <c r="B1193" s="0" t="inlineStr">
        <is>
          <t>十月</t>
        </is>
      </c>
      <c r="C1193" s="0" t="inlineStr">
        <is>
          <t>初十</t>
        </is>
      </c>
    </row>
    <row r="1194">
      <c r="A1194" s="12" t="n">
        <v>47438</v>
      </c>
      <c r="B1194" s="0" t="inlineStr">
        <is>
          <t>十月</t>
        </is>
      </c>
      <c r="C1194" s="0" t="inlineStr">
        <is>
          <t>十一</t>
        </is>
      </c>
    </row>
    <row r="1195">
      <c r="A1195" s="12" t="n">
        <v>47439</v>
      </c>
      <c r="B1195" s="0" t="inlineStr">
        <is>
          <t>十月</t>
        </is>
      </c>
      <c r="C1195" s="0" t="inlineStr">
        <is>
          <t>十二</t>
        </is>
      </c>
    </row>
    <row r="1196">
      <c r="A1196" s="12" t="n">
        <v>47440</v>
      </c>
      <c r="B1196" s="0" t="inlineStr">
        <is>
          <t>十月</t>
        </is>
      </c>
      <c r="C1196" s="0" t="inlineStr">
        <is>
          <t>十三</t>
        </is>
      </c>
    </row>
    <row r="1197">
      <c r="A1197" s="12" t="n">
        <v>47441</v>
      </c>
      <c r="B1197" s="0" t="inlineStr">
        <is>
          <t>十月</t>
        </is>
      </c>
      <c r="C1197" s="0" t="inlineStr">
        <is>
          <t>十四</t>
        </is>
      </c>
    </row>
    <row r="1198">
      <c r="A1198" s="12" t="n">
        <v>47442</v>
      </c>
      <c r="B1198" s="0" t="inlineStr">
        <is>
          <t>十月</t>
        </is>
      </c>
      <c r="C1198" s="0" t="inlineStr">
        <is>
          <t>十五</t>
        </is>
      </c>
    </row>
    <row r="1199">
      <c r="A1199" s="12" t="n">
        <v>47443</v>
      </c>
      <c r="B1199" s="0" t="inlineStr">
        <is>
          <t>十月</t>
        </is>
      </c>
      <c r="C1199" s="0" t="inlineStr">
        <is>
          <t>十六</t>
        </is>
      </c>
    </row>
    <row r="1200">
      <c r="A1200" s="12" t="n">
        <v>47444</v>
      </c>
      <c r="B1200" s="0" t="inlineStr">
        <is>
          <t>十月</t>
        </is>
      </c>
      <c r="C1200" s="0" t="inlineStr">
        <is>
          <t>十七</t>
        </is>
      </c>
    </row>
    <row r="1201">
      <c r="A1201" s="12" t="n">
        <v>47445</v>
      </c>
      <c r="B1201" s="0" t="inlineStr">
        <is>
          <t>十月</t>
        </is>
      </c>
      <c r="C1201" s="0" t="inlineStr">
        <is>
          <t>十八</t>
        </is>
      </c>
    </row>
    <row r="1202">
      <c r="A1202" s="12" t="n">
        <v>47446</v>
      </c>
      <c r="B1202" s="0" t="inlineStr">
        <is>
          <t>十月</t>
        </is>
      </c>
      <c r="C1202" s="0" t="inlineStr">
        <is>
          <t>十九</t>
        </is>
      </c>
    </row>
    <row r="1203">
      <c r="A1203" s="12" t="n">
        <v>47447</v>
      </c>
      <c r="B1203" s="0" t="inlineStr">
        <is>
          <t>十月</t>
        </is>
      </c>
      <c r="C1203" s="0" t="inlineStr">
        <is>
          <t>二十</t>
        </is>
      </c>
    </row>
    <row r="1204">
      <c r="A1204" s="12" t="n">
        <v>47448</v>
      </c>
      <c r="B1204" s="0" t="inlineStr">
        <is>
          <t>十月</t>
        </is>
      </c>
      <c r="C1204" s="0" t="inlineStr">
        <is>
          <t>廿一</t>
        </is>
      </c>
    </row>
    <row r="1205">
      <c r="A1205" s="12" t="n">
        <v>47449</v>
      </c>
      <c r="B1205" s="0" t="inlineStr">
        <is>
          <t>十月</t>
        </is>
      </c>
      <c r="C1205" s="0" t="inlineStr">
        <is>
          <t>廿二</t>
        </is>
      </c>
    </row>
    <row r="1206">
      <c r="A1206" s="12" t="n">
        <v>47450</v>
      </c>
      <c r="B1206" s="0" t="inlineStr">
        <is>
          <t>十月</t>
        </is>
      </c>
      <c r="C1206" s="0" t="inlineStr">
        <is>
          <t>廿三</t>
        </is>
      </c>
    </row>
    <row r="1207">
      <c r="A1207" s="12" t="n">
        <v>47451</v>
      </c>
      <c r="B1207" s="0" t="inlineStr">
        <is>
          <t>十月</t>
        </is>
      </c>
      <c r="C1207" s="0" t="inlineStr">
        <is>
          <t>廿四</t>
        </is>
      </c>
    </row>
    <row r="1208">
      <c r="A1208" s="12" t="n">
        <v>47452</v>
      </c>
      <c r="B1208" s="0" t="inlineStr">
        <is>
          <t>十月</t>
        </is>
      </c>
      <c r="C1208" s="0" t="inlineStr">
        <is>
          <t>廿五</t>
        </is>
      </c>
    </row>
    <row r="1209">
      <c r="A1209" s="12" t="n">
        <v>47453</v>
      </c>
      <c r="B1209" s="0" t="inlineStr">
        <is>
          <t>十月</t>
        </is>
      </c>
      <c r="C1209" s="0" t="inlineStr">
        <is>
          <t>廿六</t>
        </is>
      </c>
    </row>
    <row r="1210">
      <c r="A1210" s="12" t="n">
        <v>47454</v>
      </c>
      <c r="B1210" s="0" t="inlineStr">
        <is>
          <t>十月</t>
        </is>
      </c>
      <c r="C1210" s="0" t="inlineStr">
        <is>
          <t>廿七</t>
        </is>
      </c>
    </row>
    <row r="1211">
      <c r="A1211" s="12" t="n">
        <v>47455</v>
      </c>
      <c r="B1211" s="0" t="inlineStr">
        <is>
          <t>十月</t>
        </is>
      </c>
      <c r="C1211" s="0" t="inlineStr">
        <is>
          <t>廿八</t>
        </is>
      </c>
    </row>
    <row r="1212">
      <c r="A1212" s="12" t="n">
        <v>47456</v>
      </c>
      <c r="B1212" s="0" t="inlineStr">
        <is>
          <t>十月</t>
        </is>
      </c>
      <c r="C1212" s="0" t="inlineStr">
        <is>
          <t>廿九</t>
        </is>
      </c>
    </row>
    <row r="1213">
      <c r="A1213" s="12" t="n">
        <v>47457</v>
      </c>
      <c r="B1213" s="0" t="inlineStr">
        <is>
          <t>十一月</t>
        </is>
      </c>
      <c r="C1213" s="0" t="inlineStr">
        <is>
          <t>初一</t>
        </is>
      </c>
    </row>
    <row r="1214">
      <c r="A1214" s="12" t="n">
        <v>47458</v>
      </c>
      <c r="B1214" s="0" t="inlineStr">
        <is>
          <t>十一月</t>
        </is>
      </c>
      <c r="C1214" s="0" t="inlineStr">
        <is>
          <t>初二</t>
        </is>
      </c>
    </row>
    <row r="1215">
      <c r="A1215" s="12" t="n">
        <v>47459</v>
      </c>
      <c r="B1215" s="0" t="inlineStr">
        <is>
          <t>十一月</t>
        </is>
      </c>
      <c r="C1215" s="0" t="inlineStr">
        <is>
          <t>初三</t>
        </is>
      </c>
    </row>
    <row r="1216">
      <c r="A1216" s="12" t="n">
        <v>47460</v>
      </c>
      <c r="B1216" s="0" t="inlineStr">
        <is>
          <t>十一月</t>
        </is>
      </c>
      <c r="C1216" s="0" t="inlineStr">
        <is>
          <t>初四</t>
        </is>
      </c>
    </row>
    <row r="1217">
      <c r="A1217" s="12" t="n">
        <v>47461</v>
      </c>
      <c r="B1217" s="0" t="inlineStr">
        <is>
          <t>十一月</t>
        </is>
      </c>
      <c r="C1217" s="0" t="inlineStr">
        <is>
          <t>初五</t>
        </is>
      </c>
    </row>
    <row r="1218">
      <c r="A1218" s="12" t="n">
        <v>47462</v>
      </c>
      <c r="B1218" s="0" t="inlineStr">
        <is>
          <t>十一月</t>
        </is>
      </c>
      <c r="C1218" s="0" t="inlineStr">
        <is>
          <t>初六</t>
        </is>
      </c>
    </row>
    <row r="1219">
      <c r="A1219" s="12" t="n">
        <v>47463</v>
      </c>
      <c r="B1219" s="0" t="inlineStr">
        <is>
          <t>十一月</t>
        </is>
      </c>
      <c r="C1219" s="0" t="inlineStr">
        <is>
          <t>初七</t>
        </is>
      </c>
    </row>
    <row r="1220">
      <c r="A1220" s="12" t="n">
        <v>47464</v>
      </c>
      <c r="B1220" s="0" t="inlineStr">
        <is>
          <t>十一月</t>
        </is>
      </c>
      <c r="C1220" s="0" t="inlineStr">
        <is>
          <t>初八</t>
        </is>
      </c>
    </row>
    <row r="1221">
      <c r="A1221" s="12" t="n">
        <v>47465</v>
      </c>
      <c r="B1221" s="0" t="inlineStr">
        <is>
          <t>十一月</t>
        </is>
      </c>
      <c r="C1221" s="0" t="inlineStr">
        <is>
          <t>初九</t>
        </is>
      </c>
    </row>
    <row r="1222">
      <c r="A1222" s="12" t="n">
        <v>47466</v>
      </c>
      <c r="B1222" s="0" t="inlineStr">
        <is>
          <t>十一月</t>
        </is>
      </c>
      <c r="C1222" s="0" t="inlineStr">
        <is>
          <t>初十</t>
        </is>
      </c>
    </row>
    <row r="1223">
      <c r="A1223" s="12" t="n">
        <v>47467</v>
      </c>
      <c r="B1223" s="0" t="inlineStr">
        <is>
          <t>十一月</t>
        </is>
      </c>
      <c r="C1223" s="0" t="inlineStr">
        <is>
          <t>十一</t>
        </is>
      </c>
    </row>
    <row r="1224">
      <c r="A1224" s="12" t="n">
        <v>47468</v>
      </c>
      <c r="B1224" s="0" t="inlineStr">
        <is>
          <t>十一月</t>
        </is>
      </c>
      <c r="C1224" s="0" t="inlineStr">
        <is>
          <t>十二</t>
        </is>
      </c>
    </row>
    <row r="1225">
      <c r="A1225" s="12" t="n">
        <v>47469</v>
      </c>
      <c r="B1225" s="0" t="inlineStr">
        <is>
          <t>十一月</t>
        </is>
      </c>
      <c r="C1225" s="0" t="inlineStr">
        <is>
          <t>十三</t>
        </is>
      </c>
    </row>
    <row r="1226">
      <c r="A1226" s="12" t="n">
        <v>47470</v>
      </c>
      <c r="B1226" s="0" t="inlineStr">
        <is>
          <t>十一月</t>
        </is>
      </c>
      <c r="C1226" s="0" t="inlineStr">
        <is>
          <t>十四</t>
        </is>
      </c>
    </row>
    <row r="1227">
      <c r="A1227" s="12" t="n">
        <v>47471</v>
      </c>
      <c r="B1227" s="0" t="inlineStr">
        <is>
          <t>十一月</t>
        </is>
      </c>
      <c r="C1227" s="0" t="inlineStr">
        <is>
          <t>十五</t>
        </is>
      </c>
    </row>
    <row r="1228">
      <c r="A1228" s="12" t="n">
        <v>47472</v>
      </c>
      <c r="B1228" s="0" t="inlineStr">
        <is>
          <t>十一月</t>
        </is>
      </c>
      <c r="C1228" s="0" t="inlineStr">
        <is>
          <t>十六</t>
        </is>
      </c>
    </row>
    <row r="1229">
      <c r="A1229" s="12" t="n">
        <v>47473</v>
      </c>
      <c r="B1229" s="0" t="inlineStr">
        <is>
          <t>十一月</t>
        </is>
      </c>
      <c r="C1229" s="0" t="inlineStr">
        <is>
          <t>十七</t>
        </is>
      </c>
    </row>
    <row r="1230">
      <c r="A1230" s="12" t="n">
        <v>47474</v>
      </c>
      <c r="B1230" s="0" t="inlineStr">
        <is>
          <t>十一月</t>
        </is>
      </c>
      <c r="C1230" s="0" t="inlineStr">
        <is>
          <t>十八</t>
        </is>
      </c>
    </row>
    <row r="1231">
      <c r="A1231" s="12" t="n">
        <v>47475</v>
      </c>
      <c r="B1231" s="0" t="inlineStr">
        <is>
          <t>十一月</t>
        </is>
      </c>
      <c r="C1231" s="0" t="inlineStr">
        <is>
          <t>十九</t>
        </is>
      </c>
    </row>
    <row r="1232">
      <c r="A1232" s="12" t="n">
        <v>47476</v>
      </c>
      <c r="B1232" s="0" t="inlineStr">
        <is>
          <t>十一月</t>
        </is>
      </c>
      <c r="C1232" s="0" t="inlineStr">
        <is>
          <t>二十</t>
        </is>
      </c>
    </row>
    <row r="1233">
      <c r="A1233" s="12" t="n">
        <v>47477</v>
      </c>
      <c r="B1233" s="0" t="inlineStr">
        <is>
          <t>十一月</t>
        </is>
      </c>
      <c r="C1233" s="0" t="inlineStr">
        <is>
          <t>廿一</t>
        </is>
      </c>
    </row>
    <row r="1234">
      <c r="A1234" s="12" t="n">
        <v>47478</v>
      </c>
      <c r="B1234" s="0" t="inlineStr">
        <is>
          <t>十一月</t>
        </is>
      </c>
      <c r="C1234" s="0" t="inlineStr">
        <is>
          <t>廿二</t>
        </is>
      </c>
    </row>
    <row r="1235">
      <c r="A1235" s="12" t="n">
        <v>47479</v>
      </c>
      <c r="B1235" s="0" t="inlineStr">
        <is>
          <t>十一月</t>
        </is>
      </c>
      <c r="C1235" s="0" t="inlineStr">
        <is>
          <t>廿三</t>
        </is>
      </c>
    </row>
    <row r="1236">
      <c r="A1236" s="12" t="n">
        <v>47480</v>
      </c>
      <c r="B1236" s="0" t="inlineStr">
        <is>
          <t>十一月</t>
        </is>
      </c>
      <c r="C1236" s="0" t="inlineStr">
        <is>
          <t>廿四</t>
        </is>
      </c>
    </row>
    <row r="1237">
      <c r="A1237" s="12" t="n">
        <v>47481</v>
      </c>
      <c r="B1237" s="0" t="inlineStr">
        <is>
          <t>十一月</t>
        </is>
      </c>
      <c r="C1237" s="0" t="inlineStr">
        <is>
          <t>廿五</t>
        </is>
      </c>
    </row>
    <row r="1238">
      <c r="A1238" s="12" t="n">
        <v>47482</v>
      </c>
      <c r="B1238" s="0" t="inlineStr">
        <is>
          <t>十一月</t>
        </is>
      </c>
      <c r="C1238" s="0" t="inlineStr">
        <is>
          <t>廿六</t>
        </is>
      </c>
    </row>
    <row r="1239">
      <c r="A1239" s="12" t="n">
        <v>47483</v>
      </c>
      <c r="B1239" s="0" t="inlineStr">
        <is>
          <t>十一月</t>
        </is>
      </c>
      <c r="C1239" s="0" t="inlineStr">
        <is>
          <t>廿七</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10" customWidth="1" style="10" min="1" max="1"/>
    <col width="40" customWidth="1" style="10" min="2" max="2"/>
    <col width="12" customWidth="1" style="10" min="3" max="3"/>
    <col width="32" customWidth="1" style="10" min="4" max="4"/>
    <col width="62" customWidth="1" style="10" min="5" max="5"/>
    <col width="40" customWidth="1" style="10" min="6" max="6"/>
  </cols>
  <sheetData>
    <row r="1">
      <c r="A1" s="13" t="inlineStr">
        <is>
          <t>What is checked, what you decided, and what is still open</t>
        </is>
      </c>
    </row>
    <row r="2">
      <c r="A2" s="14" t="inlineStr">
        <is>
          <t>CONFIRMED = checked against a source named below.  DECIDED = settled by your instruction.  CHECK = still open. Nothing in a CHECK row is known to be wrong; it is unverified.</t>
        </is>
      </c>
    </row>
    <row r="3">
      <c r="A3" s="14" t="inlineStr">
        <is>
          <t>Tabs: drba = from the DRBA printed calendar. hko_extended = built by me from the Hong Kong Observatory tables. lookup and lunar_ref are shared by both.</t>
        </is>
      </c>
    </row>
    <row r="5">
      <c r="A5" s="15" t="inlineStr">
        <is>
          <t>id</t>
        </is>
      </c>
      <c r="B5" s="15" t="inlineStr">
        <is>
          <t>item</t>
        </is>
      </c>
      <c r="C5" s="15" t="inlineStr">
        <is>
          <t>status</t>
        </is>
      </c>
      <c r="D5" s="15" t="inlineStr">
        <is>
          <t>where it shows up</t>
        </is>
      </c>
      <c r="E5" s="15" t="inlineStr">
        <is>
          <t>basis</t>
        </is>
      </c>
      <c r="F5" s="15" t="inlineStr">
        <is>
          <t>what would settle it</t>
        </is>
      </c>
    </row>
    <row r="6" ht="66" customHeight="1" s="10">
      <c r="A6" s="16" t="inlineStr">
        <is>
          <t>C1</t>
        </is>
      </c>
      <c r="B6" s="16" t="inlineStr">
        <is>
          <t>Lunar month and day, every row on both data tabs</t>
        </is>
      </c>
      <c r="C6" s="17" t="inlineStr">
        <is>
          <t>CONFIRMED</t>
        </is>
      </c>
      <c r="D6" s="16" t="inlineStr">
        <is>
          <t>drba!C:D, hko_extended!C:D, lunar_ref</t>
        </is>
      </c>
      <c r="E6" s="16" t="inlineStr">
        <is>
          <t>Every row checked against the Hong Kong Observatory Gregorian-Lunar Conversion Tables 2026-2028 (Chinese editions). Zero mismatches. Month boundaries also match the printed DRBA 2026 calendar.</t>
        </is>
      </c>
      <c r="F6" s="16" t="inlineStr"/>
    </row>
    <row r="7" ht="66" customHeight="1" s="10">
      <c r="A7" s="16" t="inlineStr">
        <is>
          <t>C2</t>
        </is>
      </c>
      <c r="B7" s="16" t="inlineStr">
        <is>
          <t>Seed value in drba!C2 (6th lunar month)</t>
        </is>
      </c>
      <c r="C7" s="17" t="inlineStr">
        <is>
          <t>CONFIRMED</t>
        </is>
      </c>
      <c r="D7" s="16" t="inlineStr">
        <is>
          <t>drba!C2</t>
        </is>
      </c>
      <c r="E7" s="16" t="inlineStr">
        <is>
          <t>HKO 2026 table: 2026-08-12 is day 30 of the 6th lunar month; the 7th month begins 2026-08-13.</t>
        </is>
      </c>
      <c r="F7" s="16" t="inlineStr"/>
    </row>
    <row r="8" ht="66" customHeight="1" s="10">
      <c r="A8" s="16" t="inlineStr">
        <is>
          <t>C3</t>
        </is>
      </c>
      <c r="B8" s="16" t="inlineStr">
        <is>
          <t>moon_phase rule: day 1 = New, day 15 = Full</t>
        </is>
      </c>
      <c r="C8" s="17" t="inlineStr">
        <is>
          <t>CONFIRMED</t>
        </is>
      </c>
      <c r="D8" s="16" t="inlineStr">
        <is>
          <t>drba!F, hko_extended!F</t>
        </is>
      </c>
      <c r="E8" s="16" t="inlineStr">
        <is>
          <t>DRBA printed calendars for 2023 and 2026 show a filled circle on the 1st and an open circle on the 15th, leap month included.</t>
        </is>
      </c>
      <c r="F8" s="16" t="inlineStr"/>
    </row>
    <row r="9" ht="66" customHeight="1" s="10">
      <c r="A9" s="16" t="inlineStr">
        <is>
          <t>C4</t>
        </is>
      </c>
      <c r="B9" s="16" t="inlineStr">
        <is>
          <t>The six fast days are 8, 14, 15, 23, 29, 30</t>
        </is>
      </c>
      <c r="C9" s="17" t="inlineStr">
        <is>
          <t>CONFIRMED</t>
        </is>
      </c>
      <c r="D9" s="16" t="inlineStr">
        <is>
          <t>drba!H, hko_extended!H</t>
        </is>
      </c>
      <c r="E9" s="16" t="inlineStr">
        <is>
          <t>Fo shuo si tianwang jing (Four Heavenly Kings), Taisho T15n0590: envoys descend on the 8th and 23rd, princes on the 14th and 29th, the kings themselves on the 15th and 30th - two mirrored halves of the month.</t>
        </is>
      </c>
      <c r="F9" s="16" t="inlineStr"/>
    </row>
    <row r="10" ht="66" customHeight="1" s="10">
      <c r="A10" s="16" t="inlineStr">
        <is>
          <t>C5</t>
        </is>
      </c>
      <c r="B10" s="16" t="inlineStr">
        <is>
          <t>The Brahma Net Sutra does not list which days or months</t>
        </is>
      </c>
      <c r="C10" s="17" t="inlineStr">
        <is>
          <t>CONFIRMED</t>
        </is>
      </c>
      <c r="D10" s="16" t="inlineStr">
        <is>
          <t>background</t>
        </is>
      </c>
      <c r="E10" s="16" t="inlineStr">
        <is>
          <t>Read T24n1484 fascicle 2 in full. 'Six fast days' and 'three long fasting months' appear once, in the 30th light precept, with no day list and no month list.</t>
        </is>
      </c>
      <c r="F10" s="16" t="inlineStr"/>
    </row>
    <row r="11" ht="66" customHeight="1" s="10">
      <c r="A11" s="16" t="inlineStr">
        <is>
          <t>C6</t>
        </is>
      </c>
      <c r="B11" s="16" t="inlineStr">
        <is>
          <t>Spaced variant of the character for 30 at 2026-11-08</t>
        </is>
      </c>
      <c r="C11" s="17" t="inlineStr">
        <is>
          <t>CONFIRMED</t>
        </is>
      </c>
      <c r="D11" s="16" t="inlineStr">
        <is>
          <t>lookup!A32</t>
        </is>
      </c>
      <c r="E11" s="16" t="inlineStr">
        <is>
          <t>Not a data-entry slip. The DRBA 2026 PDF typesets that cell with a space. The lookup table resolves both forms to 30.</t>
        </is>
      </c>
      <c r="F11" s="16" t="inlineStr"/>
    </row>
    <row r="12" ht="66" customHeight="1" s="10">
      <c r="A12" s="21" t="inlineStr">
        <is>
          <t>D1</t>
        </is>
      </c>
      <c r="B12" s="21" t="inlineStr">
        <is>
          <t>Short months use the last two days, i.e. 28 + 29</t>
        </is>
      </c>
      <c r="C12" s="22" t="inlineStr">
        <is>
          <t>DECIDED</t>
        </is>
      </c>
      <c r="D12" s="21" t="inlineStr">
        <is>
          <t>drba!H, hko_extended!H</t>
        </is>
      </c>
      <c r="E12" s="21" t="inlineStr">
        <is>
          <t>Your ruling. T15n0590 names the 29th and 30th; a 29-day month has no 30th, so the sheet takes the last two days.</t>
        </is>
      </c>
      <c r="F12" s="21" t="inlineStr"/>
    </row>
    <row r="13" ht="66" customHeight="1" s="10">
      <c r="A13" s="21" t="inlineStr">
        <is>
          <t>D2</t>
        </is>
      </c>
      <c r="B13" s="21" t="inlineStr">
        <is>
          <t>Long fasting months are the 1st, 5th and 9th</t>
        </is>
      </c>
      <c r="C13" s="22" t="inlineStr">
        <is>
          <t>DECIDED</t>
        </is>
      </c>
      <c r="D13" s="21" t="inlineStr">
        <is>
          <t>drba!J, hko_extended!J, lookup!D:E</t>
        </is>
      </c>
      <c r="E13" s="21" t="inlineStr">
        <is>
          <t>Your ruling. T24n1484 does not name them; the 1st/5th/9th identification is the standard one.</t>
        </is>
      </c>
      <c r="F13" s="21" t="inlineStr"/>
    </row>
    <row r="14" ht="66" customHeight="1" s="10">
      <c r="A14" s="21" t="inlineStr">
        <is>
          <t>D3</t>
        </is>
      </c>
      <c r="B14" s="21" t="inlineStr">
        <is>
          <t>The six fast days do apply inside a leap month</t>
        </is>
      </c>
      <c r="C14" s="22" t="inlineStr">
        <is>
          <t>DECIDED</t>
        </is>
      </c>
      <c r="D14" s="21" t="inlineStr">
        <is>
          <t>drba!H, hko_extended!H</t>
        </is>
      </c>
      <c r="E14" s="21" t="inlineStr">
        <is>
          <t>Your ruling, and consistent with the DRBA 2023 calendar, which marks the 1st and 15th of the leap 2nd month like any other month. The formula works off the day number, so this already happens.</t>
        </is>
      </c>
      <c r="F14" s="21" t="inlineStr"/>
    </row>
    <row r="15" ht="66" customHeight="1" s="10">
      <c r="A15" s="21" t="inlineStr">
        <is>
          <t>D4</t>
        </is>
      </c>
      <c r="B15" s="21" t="inlineStr">
        <is>
          <t>The 1st is not a fast day - keep the six-day scheme</t>
        </is>
      </c>
      <c r="C15" s="22" t="inlineStr">
        <is>
          <t>DECIDED</t>
        </is>
      </c>
      <c r="D15" s="21" t="inlineStr">
        <is>
          <t>drba!H, hko_extended!H</t>
        </is>
      </c>
      <c r="E15" s="21" t="inlineStr">
        <is>
          <t>Your ruling. For the record, the 1st is one of the ten fast days listed in the Earth Store Sutra, T13n0412: 1, 8, 14, 15, 18, 23, 24, 28, 29, 30. The sheet does not use that scheme.</t>
        </is>
      </c>
      <c r="F15" s="21" t="inlineStr"/>
    </row>
    <row r="16" ht="92" customHeight="1" s="10">
      <c r="A16" s="21" t="inlineStr">
        <is>
          <t>D5</t>
        </is>
      </c>
      <c r="B16" s="21" t="inlineStr">
        <is>
          <t>A leap month DOES count as a long fasting month</t>
        </is>
      </c>
      <c r="C16" s="22" t="inlineStr">
        <is>
          <t>DECIDED</t>
        </is>
      </c>
      <c r="D16" s="21" t="inlineStr">
        <is>
          <t>三長齋月 and leap_month columns on all three tabs</t>
        </is>
      </c>
      <c r="E16" s="21" t="inlineStr">
        <is>
          <t>Your ruling, provisional and deliberately visible: count it, flag it, revisit when it is actually near. A leap 5th month is tagged 'Long fast month (LEAP)', the leap_month column spells it out, and the whole row is banded orange. Note this is the opposite of what the DRBA 2023 calendar suggests, where the leap 2nd month got no repeat of the monthly memorial and no repeat of Guan Yin's birthday - which is why it stays flagged.</t>
        </is>
      </c>
      <c r="F16" s="21" t="inlineStr">
        <is>
          <t>First live case is 2028-06-23 to 2028-07-21, visible on the leap_preview tab. If you later decide leap months should not count, change the leap? column in lookup!G15:G26 from LEAP to regular and clear lookup!E15:E26.</t>
        </is>
      </c>
    </row>
    <row r="17" ht="66" customHeight="1" s="10">
      <c r="A17" s="18" t="inlineStr">
        <is>
          <t>K6</t>
        </is>
      </c>
      <c r="B17" s="18" t="inlineStr">
        <is>
          <t>Rows past 2028-12-31</t>
        </is>
      </c>
      <c r="C17" s="19" t="inlineStr">
        <is>
          <t>CHECK</t>
        </is>
      </c>
      <c r="D17" s="18" t="inlineStr">
        <is>
          <t>lunar_ref</t>
        </is>
      </c>
      <c r="E17" s="18" t="inlineStr">
        <is>
          <t>The reference sheet now runs to 2029-12-31. Drag the date column past that and the lunar columns come up blank.</t>
        </is>
      </c>
      <c r="F17" s="18" t="inlineStr">
        <is>
          <t>Extend lunar_ref from the HKO table for the year needed.</t>
        </is>
      </c>
    </row>
    <row r="19">
      <c r="A19" s="11" t="inlineStr">
        <is>
          <t>Sources read</t>
        </is>
      </c>
    </row>
    <row r="20" ht="30" customHeight="1" s="10">
      <c r="A20" s="20" t="inlineStr">
        <is>
          <t>Fanwang jing (Brahma Net Sutra), T24n1484, fascicle 2, read in full - CBETA text via deerpark.app</t>
        </is>
      </c>
    </row>
    <row r="21" ht="30" customHeight="1" s="10">
      <c r="A21" s="20" t="inlineStr">
        <is>
          <t>Fo shuo si tianwang jing (Four Heavenly Kings), T15n0590, read in full - CBETA text</t>
        </is>
      </c>
    </row>
    <row r="22" ht="30" customHeight="1" s="10">
      <c r="A22" s="20" t="inlineStr">
        <is>
          <t>Dizang pusa benyuan jing (Earth Store Sutra), T13n0412, the ten-fast-day passage - CBETA text</t>
        </is>
      </c>
    </row>
    <row r="23" ht="30" customHeight="1" s="10">
      <c r="A23" s="20" t="inlineStr">
        <is>
          <t>Hong Kong Observatory Gregorian-Lunar Conversion Tables 2026 / 2027 / 2028, Chinese and English editions - hko.gov.hk</t>
        </is>
      </c>
    </row>
    <row r="24" ht="30" customHeight="1" s="10">
      <c r="A24" s="20" t="inlineStr">
        <is>
          <t>DRBA printed calendars 2023, 2024, 2026 (PDF). The March and April 2023 pages were rasterized and read as images, since the leap month question turns on grid position.</t>
        </is>
      </c>
    </row>
    <row r="26">
      <c r="A26" s="11" t="inlineStr">
        <is>
          <t>NOT read - do not treat as verified</t>
        </is>
      </c>
    </row>
    <row r="27" ht="30" customHeight="1" s="10">
      <c r="A27" s="20" t="inlineStr">
        <is>
          <t>Sanzang fashu fascicle 35 - usually cited as naming the 1st, 5th and 9th months. Seen only quoted.</t>
        </is>
      </c>
    </row>
    <row r="28" ht="30" customHeight="1" s="10">
      <c r="A28" s="20" t="inlineStr">
        <is>
          <t>Da zhidu lun fascicle 13, the six-fast-day passage. Seen only quoted.</t>
        </is>
      </c>
    </row>
    <row r="29" ht="30" customHeight="1" s="10">
      <c r="A29" s="20" t="inlineStr">
        <is>
          <t>Mohe banruo jing fascicle 14, which lists the six days in paired order. Seen only quoted.</t>
        </is>
      </c>
    </row>
    <row r="30" ht="30" customHeight="1" s="10">
      <c r="A30" s="20" t="inlineStr">
        <is>
          <t>Any DRBA or CTTB internal ruling on leap months. None located.</t>
        </is>
      </c>
    </row>
    <row r="32">
      <c r="A32" s="11" t="inlineStr">
        <is>
          <t>Long fasting month lengths, from the HKO tables</t>
        </is>
      </c>
    </row>
    <row r="33" ht="30" customHeight="1" s="10">
      <c r="A33" s="20" t="inlineStr">
        <is>
          <t>A lunar year does not give a round 90 days of long fast: the 1st, 5th and 9th months are each 29 or 30 days, in no fixed pattern.</t>
        </is>
      </c>
    </row>
    <row r="34" ht="30" customHeight="1" s="10">
      <c r="A34" s="20" t="inlineStr">
        <is>
          <t>2026 (bing wu): 30 + 29 + 30 = 89 days.</t>
        </is>
      </c>
    </row>
    <row r="35" ht="30" customHeight="1" s="10">
      <c r="A35" s="20" t="inlineStr">
        <is>
          <t>2027 (ding wei): 30 + 29 + 29 = 88 days.</t>
        </is>
      </c>
    </row>
    <row r="36" ht="30" customHeight="1" s="10">
      <c r="A36" s="20" t="inlineStr">
        <is>
          <t>2028 (wu shen): 30 + 30 + 29 = 89 days, plus the leap 5th month at 29 days = 118 if it counts, as the sheet now has it.</t>
        </is>
      </c>
    </row>
    <row r="38">
      <c r="A38" s="11" t="inlineStr">
        <is>
          <t>Notes that used to be cell comments (moved here: comments do not show on mobile and Sheets warns about them)</t>
        </is>
      </c>
    </row>
    <row r="39" ht="74" customHeight="1" s="10">
      <c r="A39" s="90" t="inlineStr">
        <is>
          <t>drba!A1</t>
        </is>
      </c>
      <c r="B39" s="20" t="inlineStr">
        <is>
          <t>Everything on this tab traces to the DRBA printed calendar for 2026: the lunar month, the lunar day, the moon phases and the dharma events. It runs to 2027-01-31, where that calendar stops. Rows after that live on the hko_extended tab, which is sourced from the Hong Kong Observatory instead. The two tabs share the lookup and lunar_ref sheets. The six-fast-day formula on the last two rows looks ahead into hko_extended, since the final days of that lunar month fall there.</t>
        </is>
      </c>
    </row>
    <row r="40" ht="74" customHeight="1" s="10">
      <c r="A40" s="90" t="inlineStr">
        <is>
          <t>drba!H1</t>
        </is>
      </c>
      <c r="B40" s="20" t="inlineStr">
        <is>
          <t>Six fasting days (liu zhai ri): lunar 8, 14, 15, 23 plus the final two days of the lunar month. The last two days are found by lookahead - the lunar day number one or two rows below resets to 1, marking the start of the next lunar month. Handles 29- and 30-day months without hardcoding month lengths. Rule supplied by the user.</t>
        </is>
      </c>
    </row>
    <row r="41" ht="74" customHeight="1" s="10">
      <c r="A41" s="90" t="inlineStr">
        <is>
          <t>drba!I1</t>
        </is>
      </c>
      <c r="B41" s="20" t="inlineStr">
        <is>
          <t>Month name converted to a number against lookup!D:E, mirroring how lunar_day_eng converts the day. Blank if the name is not in that table.</t>
        </is>
      </c>
    </row>
    <row r="42" ht="74" customHeight="1" s="10">
      <c r="A42" s="90" t="inlineStr">
        <is>
          <t>drba!J1</t>
        </is>
      </c>
      <c r="B42" s="20" t="inlineStr">
        <is>
          <t>Three long fasting months (san chang zhai yue): the 1st, 5th and 9th lunar months, tagged on every day of the month. Rule supplied by the user.</t>
        </is>
      </c>
    </row>
    <row r="43" ht="74" customHeight="1" s="10">
      <c r="A43" s="90" t="inlineStr">
        <is>
          <t>drba!C2</t>
        </is>
      </c>
      <c r="B43" s="20" t="inlineStr">
        <is>
          <t>Seed value, hardcoded. 2026-08-12 is day 30 of the 6th lunar month; the 7th month begins 2026-08-13. Source: Hong Kong Observatory, Gregorian-Lunar Calendar Conversion Table of 2026, https://www.hko.gov.hk/en/gts/time/calendar/text/files/T2026e.txt The month it belongs to starts before the sheet does, so it cannot be carried down from a row above.</t>
        </is>
      </c>
    </row>
    <row r="44" ht="74" customHeight="1" s="10">
      <c r="A44" s="90" t="inlineStr">
        <is>
          <t>hko_extended!A1</t>
        </is>
      </c>
      <c r="B44" s="20" t="inlineStr">
        <is>
          <t>Rows past the end of the DRBA 2026 printed calendar. The lunar month and day here do NOT come from a DRBA source: they are looked up from the lunar_ref sheet, which I transcribed from the Hong Kong Observatory Gregorian-Lunar Conversion Tables for 2026-2028. The derived columns (六齋日, lunar_month_eng, 三長齋月) use the same formulas as the drba tab. dharma_event is deliberately empty - DRBA has not published those dates for this range.</t>
        </is>
      </c>
    </row>
    <row r="45" ht="74" customHeight="1" s="10">
      <c r="A45" s="90" t="inlineStr">
        <is>
          <t>leap_preview!A1</t>
        </is>
      </c>
      <c r="B45" s="20" t="inlineStr">
        <is>
          <t>One lunar-ish year, 2028-06-09 to 2029-06-08, built so the leap month can be seen working before it matters. It contains the leap 5th month of 2028 (2028-06-23 to 2028-07-21), the only one in reach of the current reference data. Same sources and same formulas as hko_extended: lunar data from lunar_ref (Hong Kong Observatory), dharma_event empty because DRBA has not published those dates for this range. Leap rows are banded orange.</t>
        </is>
      </c>
    </row>
    <row r="46" ht="74" customHeight="1" s="10">
      <c r="A46" s="90" t="inlineStr">
        <is>
          <t>lookup!D1</t>
        </is>
      </c>
      <c r="B46" s="20" t="inlineStr">
        <is>
          <t>Month names as they appear in the lunar_month column. Rows 15-26 are the leap months, written with a leading run character. They map to the same number as the ordinary month, which is what makes a leap 5th month count as a long fasting month. The leap? column drives the flagging: any row whose month is marked LEAP gets a note in leap_month, a (LEAP) suffix in the long fasting month column, and an orange band across the row. Decision recorded in the verification sheet, item K3.</t>
        </is>
      </c>
    </row>
    <row r="47" ht="74" customHeight="1" s="10">
      <c r="A47" s="90" t="inlineStr">
        <is>
          <t>lunar_ref!A1</t>
        </is>
      </c>
      <c r="B47" s="20" t="inlineStr">
        <is>
          <t>Source data, not formulas. Gregorian date -&gt; lunar month and day, transcribed from the Hong Kong Observatory Gregorian-Lunar Calendar Conversion Tables (Chinese editions) for 2026-2029: https://www.hko.gov.hk/tc/gts/time/calendar/text/files/T2026c.txt (and T2027c, T2028c, T2029c) Covers 2026-08-12 to 2029-12-31. The leap 5th month of 2028 runs 2028-06-23 to 2028-07-21 and is labelled with a leading run character.</t>
        </is>
      </c>
    </row>
    <row r="48"/>
    <row r="49"/>
    <row r="50"/>
    <row r="51"/>
    <row r="52"/>
    <row r="53"/>
    <row r="54"/>
    <row r="55"/>
    <row r="56"/>
    <row r="57"/>
    <row r="58"/>
    <row r="59"/>
  </sheetData>
  <mergeCells count="9">
    <mergeCell ref="B44:F44"/>
    <mergeCell ref="B43:F43"/>
    <mergeCell ref="B39:F39"/>
    <mergeCell ref="B47:F47"/>
    <mergeCell ref="B42:F42"/>
    <mergeCell ref="B45:F45"/>
    <mergeCell ref="B46:F46"/>
    <mergeCell ref="B40:F40"/>
    <mergeCell ref="B41:F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2026-09-07T11:35:18Z</dcterms:created>
  <dcterms:modified xmlns:dcterms="http://purl.org/dc/terms/" xmlns:xsi="http://www.w3.org/2001/XMLSchema-instance" xsi:type="dcterms:W3CDTF">2026-09-08T18:04:48Z</dcterms:modified>
</cp:coreProperties>
</file>